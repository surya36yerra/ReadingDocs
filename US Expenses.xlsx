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/>
  <mc:AlternateContent xmlns:mc="http://schemas.openxmlformats.org/markup-compatibility/2006">
    <mc:Choice Requires="x15">
      <x15ac:absPath xmlns:x15ac="http://schemas.microsoft.com/office/spreadsheetml/2010/11/ac" url="/Users/syerr3/Library/CloudStorage/OneDrive-AmericanExpress/Desktop/"/>
    </mc:Choice>
  </mc:AlternateContent>
  <xr:revisionPtr revIDLastSave="0" documentId="8_{E7B15A94-ACA1-C149-9414-BD5923CBC9AF}" xr6:coauthVersionLast="47" xr6:coauthVersionMax="47" xr10:uidLastSave="{00000000-0000-0000-0000-000000000000}"/>
  <bookViews>
    <workbookView xWindow="0" yWindow="760" windowWidth="34560" windowHeight="19660" firstSheet="1" activeTab="13" xr2:uid="{00000000-000D-0000-FFFF-FFFF00000000}"/>
  </bookViews>
  <sheets>
    <sheet name="2014-16" sheetId="1" r:id="rId1"/>
    <sheet name="2017-19" sheetId="11" r:id="rId2"/>
    <sheet name="2020-22" sheetId="17" r:id="rId3"/>
    <sheet name="2023" sheetId="22" r:id="rId4"/>
    <sheet name="2024" sheetId="23" r:id="rId5"/>
    <sheet name="2025" sheetId="26" r:id="rId6"/>
    <sheet name="USA Stocks" sheetId="27" r:id="rId7"/>
    <sheet name="India stocks" sheetId="24" r:id="rId8"/>
    <sheet name="Investments" sheetId="16" r:id="rId9"/>
    <sheet name="Transfers" sheetId="10" r:id="rId10"/>
    <sheet name="Trips" sheetId="5" r:id="rId11"/>
    <sheet name="Health MasterSheet" sheetId="20" r:id="rId12"/>
    <sheet name="Healthcare" sheetId="15" r:id="rId13"/>
    <sheet name="GEM" sheetId="25" r:id="rId14"/>
  </sheets>
  <definedNames>
    <definedName name="_xlnm._FilterDatabase" localSheetId="11" hidden="1">'Health MasterSheet'!$S$4:$V$51</definedName>
    <definedName name="_xlnm._FilterDatabase" localSheetId="12" hidden="1">Healthcare!$B$6:$L$205</definedName>
    <definedName name="_xlnm._FilterDatabase" localSheetId="7" hidden="1">'India stocks'!$Z$16:$AC$516</definedName>
    <definedName name="_xlnm._FilterDatabase" localSheetId="8" hidden="1">GEM!$C$10:$D$10</definedName>
    <definedName name="_xlnm._FilterDatabase" localSheetId="10" hidden="1">Trips!$C$4:$G$4</definedName>
    <definedName name="expand_transaction_from_description_6" localSheetId="12">Healthcare!$D$27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8" i="27" l="1"/>
  <c r="H47" i="27"/>
  <c r="H46" i="27"/>
  <c r="H45" i="27"/>
  <c r="H44" i="27"/>
  <c r="H43" i="27"/>
  <c r="H42" i="27"/>
  <c r="U18" i="10"/>
  <c r="U10" i="10"/>
  <c r="U11" i="10"/>
  <c r="U12" i="10"/>
  <c r="U13" i="10"/>
  <c r="U14" i="10"/>
  <c r="U15" i="10"/>
  <c r="U16" i="10"/>
  <c r="U17" i="10"/>
  <c r="U9" i="10"/>
  <c r="U53" i="10"/>
  <c r="U41" i="10"/>
  <c r="U42" i="10"/>
  <c r="U43" i="10"/>
  <c r="U44" i="10"/>
  <c r="U45" i="10"/>
  <c r="U46" i="10"/>
  <c r="U47" i="10"/>
  <c r="U48" i="10"/>
  <c r="U49" i="10"/>
  <c r="U50" i="10"/>
  <c r="U51" i="10"/>
  <c r="U52" i="10"/>
  <c r="U40" i="10"/>
  <c r="I11" i="20" l="1"/>
  <c r="J11" i="20"/>
  <c r="K11" i="20"/>
  <c r="H11" i="20"/>
</calcChain>
</file>

<file path=xl/sharedStrings.xml><?xml version="1.0" encoding="utf-8"?>
<sst xmlns="http://schemas.openxmlformats.org/spreadsheetml/2006/main" count="4840" uniqueCount="1993">
  <si>
    <t>April</t>
  </si>
  <si>
    <t>USD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</si>
  <si>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</si>
  <si>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</si>
  <si>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</si>
  <si>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</si>
  <si>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</si>
  <si>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</si>
  <si>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</si>
  <si>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</si>
  <si>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Branson</t>
  </si>
  <si>
    <t>Chaitanya(Room Expenses)</t>
  </si>
  <si>
    <t>BOA Credit card</t>
  </si>
  <si>
    <t>Kansas City w/d</t>
  </si>
  <si>
    <t>DISCOVER</t>
  </si>
  <si>
    <t>Chaitanya Oct Room</t>
  </si>
  <si>
    <t>Chaitanya Nov Room</t>
  </si>
  <si>
    <t>walmart</t>
  </si>
  <si>
    <t>Vijay Settlment</t>
  </si>
  <si>
    <t>Durga bhai visit</t>
  </si>
  <si>
    <t>Vijay(ATT+Trip settlements)</t>
  </si>
  <si>
    <t>Alligient air</t>
  </si>
  <si>
    <t>Chaitanya aug room</t>
  </si>
  <si>
    <t>vijay ATT</t>
  </si>
  <si>
    <t>Roaring river</t>
  </si>
  <si>
    <t>Whiskey party</t>
  </si>
  <si>
    <t>Chitti settlment</t>
  </si>
  <si>
    <t>Vijay ATT</t>
  </si>
  <si>
    <t>Discover</t>
  </si>
  <si>
    <t>Harish settlement</t>
  </si>
  <si>
    <t>ATT Bill</t>
  </si>
  <si>
    <t>Himanshu</t>
  </si>
  <si>
    <t>Las vegas w/d</t>
  </si>
  <si>
    <t>Chaitanya Sep Room</t>
  </si>
  <si>
    <t>Total</t>
  </si>
  <si>
    <t>January</t>
  </si>
  <si>
    <t>February</t>
  </si>
  <si>
    <t>March</t>
  </si>
  <si>
    <t>Chaitanya Dec Room</t>
  </si>
  <si>
    <t>Chaitanya Jan Room</t>
  </si>
  <si>
    <t>Chaitanya Feb Room</t>
  </si>
  <si>
    <t>Chaitanya</t>
  </si>
  <si>
    <t>Umesh</t>
  </si>
  <si>
    <t>Sriram room</t>
  </si>
  <si>
    <t>ATT</t>
  </si>
  <si>
    <t>Durga bachlr party</t>
  </si>
  <si>
    <t>BOFA</t>
  </si>
  <si>
    <t>Birthday</t>
  </si>
  <si>
    <t>Send off party</t>
  </si>
  <si>
    <t>Ria</t>
  </si>
  <si>
    <t>ATT bill</t>
  </si>
  <si>
    <t>Jayanth</t>
  </si>
  <si>
    <t>Umesh2</t>
  </si>
  <si>
    <t>Passport</t>
  </si>
  <si>
    <t>Dallas</t>
  </si>
  <si>
    <t>Infy CLAIMS</t>
  </si>
  <si>
    <t>(797.36-390)</t>
  </si>
  <si>
    <t>Shiva Balusu</t>
  </si>
  <si>
    <t>Tax returns</t>
  </si>
  <si>
    <t>2792+375</t>
  </si>
  <si>
    <t>Infosys USA settlement</t>
  </si>
  <si>
    <t>Amex Relocation</t>
  </si>
  <si>
    <t>XOOM</t>
  </si>
  <si>
    <t>Florida</t>
  </si>
  <si>
    <t>Chicago</t>
  </si>
  <si>
    <t>Las Vegas</t>
  </si>
  <si>
    <t>DC</t>
  </si>
  <si>
    <t>Phoenix relocation</t>
  </si>
  <si>
    <t>laptop+flight+shipping</t>
  </si>
  <si>
    <t>17-Feb</t>
  </si>
  <si>
    <t>26-Feb</t>
  </si>
  <si>
    <t>27-Feb</t>
  </si>
  <si>
    <t>16-Mar</t>
  </si>
  <si>
    <t>2-Apr</t>
  </si>
  <si>
    <t>15-Apr</t>
  </si>
  <si>
    <t>2-Jun</t>
  </si>
  <si>
    <t>21-Sep</t>
  </si>
  <si>
    <t>24-Sep</t>
  </si>
  <si>
    <t>Shares</t>
  </si>
  <si>
    <t>Land</t>
  </si>
  <si>
    <t>Sreeram Room</t>
  </si>
  <si>
    <t>Nissan</t>
  </si>
  <si>
    <t>Digambar</t>
  </si>
  <si>
    <t>BOFA withdrawl</t>
  </si>
  <si>
    <t>Vamsi</t>
  </si>
  <si>
    <t>ATT(sep15-Dec15)</t>
  </si>
  <si>
    <t>COSTCO</t>
  </si>
  <si>
    <t>August'15</t>
  </si>
  <si>
    <t>October'15</t>
  </si>
  <si>
    <t>April'16</t>
  </si>
  <si>
    <t>ABC Nissan</t>
  </si>
  <si>
    <t>BOFA ATM Spent</t>
  </si>
  <si>
    <t xml:space="preserve">India Trip - April'16 </t>
  </si>
  <si>
    <t>Ticket</t>
  </si>
  <si>
    <t>Gifts</t>
  </si>
  <si>
    <t>India</t>
  </si>
  <si>
    <t>ICICI</t>
  </si>
  <si>
    <t>Amex</t>
  </si>
  <si>
    <t>Dubai Gold</t>
  </si>
  <si>
    <t>Dental</t>
  </si>
  <si>
    <t>Engagement</t>
  </si>
  <si>
    <t>Central</t>
  </si>
  <si>
    <t>Sujit</t>
  </si>
  <si>
    <t>Spects</t>
  </si>
  <si>
    <t>Yuktha</t>
  </si>
  <si>
    <t>Misc</t>
  </si>
  <si>
    <t>Remitly</t>
  </si>
  <si>
    <t>Placid</t>
  </si>
  <si>
    <t>APS</t>
  </si>
  <si>
    <t>$</t>
  </si>
  <si>
    <t>Rupee</t>
  </si>
  <si>
    <t xml:space="preserve">India Trip - August'16 </t>
  </si>
  <si>
    <t>IMT Bill</t>
  </si>
  <si>
    <t>USA Shopping</t>
  </si>
  <si>
    <t>USA Parties</t>
  </si>
  <si>
    <t>Vasan Eye</t>
  </si>
  <si>
    <t>Parties</t>
  </si>
  <si>
    <t>Gold coin</t>
  </si>
  <si>
    <t>Temples</t>
  </si>
  <si>
    <t>Reception</t>
  </si>
  <si>
    <t>BVRM Shopng</t>
  </si>
  <si>
    <t>Dubai Chocos</t>
  </si>
  <si>
    <t>Alekhya house</t>
  </si>
  <si>
    <t>Hyd Shopping</t>
  </si>
  <si>
    <t>India Parties</t>
  </si>
  <si>
    <t>USA</t>
  </si>
  <si>
    <t>Sep'2014</t>
  </si>
  <si>
    <t>Mar'2014</t>
  </si>
  <si>
    <t>Akka</t>
  </si>
  <si>
    <t>Aug'2015</t>
  </si>
  <si>
    <t>Infy settlement</t>
  </si>
  <si>
    <t>Sep'2015</t>
  </si>
  <si>
    <t>Infy Gratuity</t>
  </si>
  <si>
    <t>Infy PF</t>
  </si>
  <si>
    <t>Nov'2015</t>
  </si>
  <si>
    <t>Jul'2016</t>
  </si>
  <si>
    <t>INR</t>
  </si>
  <si>
    <t>14-Aprl</t>
  </si>
  <si>
    <t>Rupees</t>
  </si>
  <si>
    <t>Dollars</t>
  </si>
  <si>
    <t>BOFA Withdrawl</t>
  </si>
  <si>
    <t>Chase</t>
  </si>
  <si>
    <t>WellsFargo</t>
  </si>
  <si>
    <t>Citi</t>
  </si>
  <si>
    <t>Vamsi COSTCO</t>
  </si>
  <si>
    <t>TCS</t>
  </si>
  <si>
    <t>INFY</t>
  </si>
  <si>
    <t>May'15</t>
  </si>
  <si>
    <t>IMT</t>
  </si>
  <si>
    <t>Wells Fargo</t>
  </si>
  <si>
    <t>Nishant</t>
  </si>
  <si>
    <t>IRS</t>
  </si>
  <si>
    <t>Kovada-5C</t>
  </si>
  <si>
    <t>May'17</t>
  </si>
  <si>
    <t>ATT final</t>
  </si>
  <si>
    <t>BOFA cc</t>
  </si>
  <si>
    <t>Walmart MO</t>
  </si>
  <si>
    <t>Akhil Settlement</t>
  </si>
  <si>
    <t>BOFA check</t>
  </si>
  <si>
    <t>Kalyan Settlement</t>
  </si>
  <si>
    <t>Asiana</t>
  </si>
  <si>
    <t>Sonterra</t>
  </si>
  <si>
    <t>Surya</t>
  </si>
  <si>
    <t>Saguaro lake</t>
  </si>
  <si>
    <t>Sonterra check</t>
  </si>
  <si>
    <t>3134.75</t>
  </si>
  <si>
    <t>Arun ganesan</t>
  </si>
  <si>
    <t>Mentevari Thota-5C</t>
  </si>
  <si>
    <t>Feb &amp; March</t>
  </si>
  <si>
    <t>WorldRemit</t>
  </si>
  <si>
    <t>RemitMoney</t>
  </si>
  <si>
    <t>Bay Area</t>
  </si>
  <si>
    <t>NY</t>
  </si>
  <si>
    <t>BOFA Cash</t>
  </si>
  <si>
    <t>Xoom</t>
  </si>
  <si>
    <t>Pullareddy</t>
  </si>
  <si>
    <t xml:space="preserve">India Trip - February'18 </t>
  </si>
  <si>
    <t>Tirupathi</t>
  </si>
  <si>
    <t>Shirdi</t>
  </si>
  <si>
    <t>Amma</t>
  </si>
  <si>
    <t>Hospitals</t>
  </si>
  <si>
    <t>Java</t>
  </si>
  <si>
    <t>Phones</t>
  </si>
  <si>
    <t>Baba</t>
  </si>
  <si>
    <t>Alekhya Gifts</t>
  </si>
  <si>
    <t>Girish</t>
  </si>
  <si>
    <t>Alekhya H1B</t>
  </si>
  <si>
    <t xml:space="preserve">Whole year ICICI Interest </t>
  </si>
  <si>
    <t>Gas</t>
  </si>
  <si>
    <t>Interest</t>
  </si>
  <si>
    <t>Car driving</t>
  </si>
  <si>
    <t>Sentinel</t>
  </si>
  <si>
    <t>Jun'18</t>
  </si>
  <si>
    <t>(-360)</t>
  </si>
  <si>
    <t>BOFA cash</t>
  </si>
  <si>
    <t>BOFA cash- Alekhya</t>
  </si>
  <si>
    <t>Remit2India</t>
  </si>
  <si>
    <t>RemitIndia</t>
  </si>
  <si>
    <t>Kamlesh Verizon</t>
  </si>
  <si>
    <t>Zelle Thiru</t>
  </si>
  <si>
    <t>Zelle Vishal</t>
  </si>
  <si>
    <t>ARCO Gas</t>
  </si>
  <si>
    <t>Sea World</t>
  </si>
  <si>
    <t>Kovvada - 7C</t>
  </si>
  <si>
    <t>Zelle Sharath</t>
  </si>
  <si>
    <t>Zelle  ArunT</t>
  </si>
  <si>
    <t>Zelle Shyam</t>
  </si>
  <si>
    <t>Zelle Kalyan</t>
  </si>
  <si>
    <t>Siva Balusu</t>
  </si>
  <si>
    <t>ICICI Interest</t>
  </si>
  <si>
    <t>San-Diego</t>
  </si>
  <si>
    <t>Zelle Siva BIL</t>
  </si>
  <si>
    <t>Zelle Vamsi Costco</t>
  </si>
  <si>
    <t>Walmart EAD MO</t>
  </si>
  <si>
    <t>Alekhya India Trip</t>
  </si>
  <si>
    <t>ICICI Money2India</t>
  </si>
  <si>
    <t xml:space="preserve">Amex </t>
  </si>
  <si>
    <t>Zelle Verizon(Kartkeek)</t>
  </si>
  <si>
    <t>Alekhya Tickets</t>
  </si>
  <si>
    <t>My Ticket</t>
  </si>
  <si>
    <t>ICICI Cash</t>
  </si>
  <si>
    <t>Zelle Surya A</t>
  </si>
  <si>
    <t xml:space="preserve">Citi </t>
  </si>
  <si>
    <t>Zelle Yousuf</t>
  </si>
  <si>
    <t>Chase cc</t>
  </si>
  <si>
    <t>Hanvi</t>
  </si>
  <si>
    <t>IRIS</t>
  </si>
  <si>
    <t>UW+Khadim</t>
  </si>
  <si>
    <t>Debits</t>
  </si>
  <si>
    <t>AINU ICICI</t>
  </si>
  <si>
    <t>Uber/Ola</t>
  </si>
  <si>
    <t>Alekhya</t>
  </si>
  <si>
    <t>VISA Stamping</t>
  </si>
  <si>
    <t>India Trip</t>
  </si>
  <si>
    <t>Amex cc</t>
  </si>
  <si>
    <t>BOFA TR</t>
  </si>
  <si>
    <t>Vegas</t>
  </si>
  <si>
    <t>VIA Americas</t>
  </si>
  <si>
    <t>InstaRem</t>
  </si>
  <si>
    <t>MoneyDart</t>
  </si>
  <si>
    <t>AXIS</t>
  </si>
  <si>
    <t>Apr'19</t>
  </si>
  <si>
    <t>Trips/Expenses</t>
  </si>
  <si>
    <t>Zelle-Netflix</t>
  </si>
  <si>
    <t>Zelle Appisetty</t>
  </si>
  <si>
    <t>Paypal pendrive</t>
  </si>
  <si>
    <t>Via Americas</t>
  </si>
  <si>
    <t>Paypal</t>
  </si>
  <si>
    <t>Discover cc</t>
  </si>
  <si>
    <t>Citi cc</t>
  </si>
  <si>
    <t>Sentinel Apt block</t>
  </si>
  <si>
    <t>Robinhood funds</t>
  </si>
  <si>
    <t>LabCorp</t>
  </si>
  <si>
    <t>Provider</t>
  </si>
  <si>
    <t>Amount</t>
  </si>
  <si>
    <t>Card</t>
  </si>
  <si>
    <t>Septmeber</t>
  </si>
  <si>
    <t>HSA</t>
  </si>
  <si>
    <t>Patel</t>
  </si>
  <si>
    <t>SMI</t>
  </si>
  <si>
    <t>Service Date</t>
  </si>
  <si>
    <t>Ross</t>
  </si>
  <si>
    <t xml:space="preserve">Tummala </t>
  </si>
  <si>
    <t>Daitch</t>
  </si>
  <si>
    <t>PB by HSA directly</t>
  </si>
  <si>
    <t>Payment</t>
  </si>
  <si>
    <t>Year</t>
  </si>
  <si>
    <t>Partially Denied</t>
  </si>
  <si>
    <t>/26.36</t>
  </si>
  <si>
    <t>Amex contributions</t>
  </si>
  <si>
    <t>My contributions</t>
  </si>
  <si>
    <t xml:space="preserve"> Health Rewards</t>
  </si>
  <si>
    <t>ATM withdrawl</t>
  </si>
  <si>
    <t>SBI Interest</t>
  </si>
  <si>
    <t>HP Gas(SBI)</t>
  </si>
  <si>
    <t>Yes,got  one bill as 35.54</t>
  </si>
  <si>
    <t>Yes,got  one bill as 62.92</t>
  </si>
  <si>
    <t>Yes,got bill as 105.95</t>
  </si>
  <si>
    <t>Yes,got bill as 81.46</t>
  </si>
  <si>
    <t>got a ledger bill</t>
  </si>
  <si>
    <t>Yes,got bill as 26.36</t>
  </si>
  <si>
    <t>Yes,got bill as 54.95</t>
  </si>
  <si>
    <t>Zelle Sreenath</t>
  </si>
  <si>
    <t>Sonterra check1</t>
  </si>
  <si>
    <t>Sonterra check2</t>
  </si>
  <si>
    <t>Final Payment method</t>
  </si>
  <si>
    <t>Urgent Care</t>
  </si>
  <si>
    <t>Brian Gruber</t>
  </si>
  <si>
    <t>Zelle Kartheek</t>
  </si>
  <si>
    <t>Zelle Vamsi</t>
  </si>
  <si>
    <t>ICICI NRE Interest</t>
  </si>
  <si>
    <t>ICICI NRO Interest</t>
  </si>
  <si>
    <t>SBI Hp Gas</t>
  </si>
  <si>
    <t>SBI Tax Returns</t>
  </si>
  <si>
    <t>GEM Nakshatra</t>
  </si>
  <si>
    <t>Flat Price</t>
  </si>
  <si>
    <t>GST Price</t>
  </si>
  <si>
    <t>CF+MC+CD</t>
  </si>
  <si>
    <t>Paid for Flat</t>
  </si>
  <si>
    <t>Paid for GST</t>
  </si>
  <si>
    <t>Progenity</t>
  </si>
  <si>
    <t>labCorp</t>
  </si>
  <si>
    <t>Reimbursed by HSA</t>
  </si>
  <si>
    <t>Robinhood</t>
  </si>
  <si>
    <t>instead of 390.65 paid 113 using chase</t>
  </si>
  <si>
    <t>comments</t>
  </si>
  <si>
    <t>paid as (98*3) thru chase</t>
  </si>
  <si>
    <t>wrongly billed in UHC</t>
  </si>
  <si>
    <t>Hauptman</t>
  </si>
  <si>
    <t>Banner Imaging</t>
  </si>
  <si>
    <t>AZARH</t>
  </si>
  <si>
    <t>K Sun</t>
  </si>
  <si>
    <t>Bio-Reference</t>
  </si>
  <si>
    <t>HSA reimbursed me</t>
  </si>
  <si>
    <t>RobinHood</t>
  </si>
  <si>
    <t>Apr'20</t>
  </si>
  <si>
    <t>Aprill</t>
  </si>
  <si>
    <t>Amec cc</t>
  </si>
  <si>
    <t>Vanguard</t>
  </si>
  <si>
    <t>exc rate</t>
  </si>
  <si>
    <t>14110-623</t>
  </si>
  <si>
    <t>Consolidated Transfers</t>
  </si>
  <si>
    <t>Apr'14</t>
  </si>
  <si>
    <t>May'14</t>
  </si>
  <si>
    <t>Aug'14</t>
  </si>
  <si>
    <t>Dec'14</t>
  </si>
  <si>
    <t>Skrill</t>
  </si>
  <si>
    <t>Payson</t>
  </si>
  <si>
    <t>MSFT</t>
  </si>
  <si>
    <t>AMZN</t>
  </si>
  <si>
    <t>Netflix zelle</t>
  </si>
  <si>
    <t>Temples+Petrol+Misc</t>
  </si>
  <si>
    <t>ICICI(Indian Expenses)</t>
  </si>
  <si>
    <t>Debits(KPHB+wallet balance</t>
  </si>
  <si>
    <t>Marriage</t>
  </si>
  <si>
    <t>Gondra</t>
  </si>
  <si>
    <t>GiftCard</t>
  </si>
  <si>
    <r>
      <t xml:space="preserve">Money returned by patel- </t>
    </r>
    <r>
      <rPr>
        <b/>
        <sz val="11"/>
        <color rgb="FF000000"/>
        <rFont val="Calibri"/>
        <family val="2"/>
      </rPr>
      <t xml:space="preserve"> 2759.21</t>
    </r>
  </si>
  <si>
    <t>NVDA</t>
  </si>
  <si>
    <t>PYPL</t>
  </si>
  <si>
    <t>GOOGL</t>
  </si>
  <si>
    <t>AAPL</t>
  </si>
  <si>
    <t>Prescott</t>
  </si>
  <si>
    <t>Xe</t>
  </si>
  <si>
    <t>HDFC Fees1</t>
  </si>
  <si>
    <t>HDFC Fees2</t>
  </si>
  <si>
    <t>One Dollar Notes</t>
  </si>
  <si>
    <t>BOFA debit withdrawl</t>
  </si>
  <si>
    <t>Gurley</t>
  </si>
  <si>
    <t>Zelle Karthik</t>
  </si>
  <si>
    <t>Shea</t>
  </si>
  <si>
    <t>Tucson</t>
  </si>
  <si>
    <t>Tirumala Sai #502</t>
  </si>
  <si>
    <t>Loan</t>
  </si>
  <si>
    <t>Theju</t>
  </si>
  <si>
    <t>(2500+2500+5000+2500+2500)</t>
  </si>
  <si>
    <t>Transfers</t>
  </si>
  <si>
    <t>CRM</t>
  </si>
  <si>
    <t>ANESTHESIA1</t>
  </si>
  <si>
    <t>ANESTHESIA2</t>
  </si>
  <si>
    <t>duplicate,no need to pay</t>
  </si>
  <si>
    <t>Jan'21</t>
  </si>
  <si>
    <t>MoneyGram</t>
  </si>
  <si>
    <t>Instarem</t>
  </si>
  <si>
    <t>Lkill</t>
  </si>
  <si>
    <t>paid by UHC directly</t>
  </si>
  <si>
    <t>Present in HSA</t>
  </si>
  <si>
    <t>Y</t>
  </si>
  <si>
    <t>APS cc</t>
  </si>
  <si>
    <t>BOFA TR cc</t>
  </si>
  <si>
    <t>chase cc</t>
  </si>
  <si>
    <t>Dec</t>
  </si>
  <si>
    <t>Skrill &amp; Xe(surya bofa)</t>
  </si>
  <si>
    <t>PHANI BABU YERRRA</t>
  </si>
  <si>
    <t>wood work</t>
  </si>
  <si>
    <t>current</t>
  </si>
  <si>
    <t>Apt cost</t>
  </si>
  <si>
    <t>House warming</t>
  </si>
  <si>
    <t>Avella</t>
  </si>
  <si>
    <t>My distributtions</t>
  </si>
  <si>
    <t>HSA Transaction</t>
  </si>
  <si>
    <t>Mar'21</t>
  </si>
  <si>
    <t>Mar21</t>
  </si>
  <si>
    <t>Tax Returns</t>
  </si>
  <si>
    <t>7712+62</t>
  </si>
  <si>
    <t>Coinbase</t>
  </si>
  <si>
    <t>K Shen</t>
  </si>
  <si>
    <t>Igenomix</t>
  </si>
  <si>
    <t>Netflix</t>
  </si>
  <si>
    <t>Cash</t>
  </si>
  <si>
    <t>2019-Till date</t>
  </si>
  <si>
    <t>2020-2021</t>
  </si>
  <si>
    <t>2021-Verizon</t>
  </si>
  <si>
    <t>2019 Verizon</t>
  </si>
  <si>
    <t>2018 -ATT &amp; Verizon</t>
  </si>
  <si>
    <t>Citic cc</t>
  </si>
  <si>
    <t>Zelle</t>
  </si>
  <si>
    <t>FIDELITY</t>
  </si>
  <si>
    <t>LAB</t>
  </si>
  <si>
    <t>XE</t>
  </si>
  <si>
    <t>XE transfer</t>
  </si>
  <si>
    <t>Fidelity</t>
  </si>
  <si>
    <t>Thuprakurdu(Shadnagar) - 5C</t>
  </si>
  <si>
    <t>Zelle Amar</t>
  </si>
  <si>
    <t>CoinBase</t>
  </si>
  <si>
    <t>Flagstaff</t>
  </si>
  <si>
    <t>Stocks</t>
  </si>
  <si>
    <t>USA(since 2019)</t>
  </si>
  <si>
    <t>Index/ETF</t>
  </si>
  <si>
    <t>Crypto</t>
  </si>
  <si>
    <t>Investment</t>
  </si>
  <si>
    <t>BlockFi</t>
  </si>
  <si>
    <t>META</t>
  </si>
  <si>
    <t>NET</t>
  </si>
  <si>
    <t>TTD</t>
  </si>
  <si>
    <t>CRWD</t>
  </si>
  <si>
    <t>DOCU</t>
  </si>
  <si>
    <t>SHOP</t>
  </si>
  <si>
    <t>TWLO</t>
  </si>
  <si>
    <t>SE</t>
  </si>
  <si>
    <t>DDOG</t>
  </si>
  <si>
    <t>ROKU</t>
  </si>
  <si>
    <t>MELI</t>
  </si>
  <si>
    <t>ADBE</t>
  </si>
  <si>
    <t>labcorp</t>
  </si>
  <si>
    <t>23..6</t>
  </si>
  <si>
    <t>Luiz</t>
  </si>
  <si>
    <t>CicerdoDx</t>
  </si>
  <si>
    <t>OptumRx website</t>
  </si>
  <si>
    <t>2021 whole year</t>
  </si>
  <si>
    <t>reimbursed thru HSA</t>
  </si>
  <si>
    <t>BRIOVARX</t>
  </si>
  <si>
    <t>Phoenix local</t>
  </si>
  <si>
    <t>Total contributions</t>
  </si>
  <si>
    <t>C/F from last year</t>
  </si>
  <si>
    <t>Balance</t>
  </si>
  <si>
    <t>Treasury direct</t>
  </si>
  <si>
    <t>Mar'22</t>
  </si>
  <si>
    <t>5233+486</t>
  </si>
  <si>
    <t>PLTR</t>
  </si>
  <si>
    <t>UPST</t>
  </si>
  <si>
    <t>Phani babu</t>
  </si>
  <si>
    <t>Loan Processing fee</t>
  </si>
  <si>
    <t>76,24,00,000</t>
  </si>
  <si>
    <t>Ravi zelle</t>
  </si>
  <si>
    <t>cash withdraw</t>
  </si>
  <si>
    <t>Vikas zelle</t>
  </si>
  <si>
    <t>Mawyer</t>
  </si>
  <si>
    <t>AVELLA</t>
  </si>
  <si>
    <t>June-2022</t>
  </si>
  <si>
    <t>November-2021</t>
  </si>
  <si>
    <t>September -2021</t>
  </si>
  <si>
    <t>August-2021</t>
  </si>
  <si>
    <t>January-2021</t>
  </si>
  <si>
    <t>February-2021</t>
  </si>
  <si>
    <t>April-2021</t>
  </si>
  <si>
    <t>2020 whole  year</t>
  </si>
  <si>
    <t>(BOFA 12800 + Discover 5200+ DCU 17000+401 19000)</t>
  </si>
  <si>
    <t>BOFA+Discover+DCU+401K</t>
  </si>
  <si>
    <t>Cash payments</t>
  </si>
  <si>
    <t xml:space="preserve"> 20%  downpayment</t>
  </si>
  <si>
    <t>COVID-19  stimulus check</t>
  </si>
  <si>
    <t>Tax Returns(2021-22)</t>
  </si>
  <si>
    <t>rate</t>
  </si>
  <si>
    <t>Cash withdrawl</t>
  </si>
  <si>
    <t>Mar'20</t>
  </si>
  <si>
    <t>2022-Verizon</t>
  </si>
  <si>
    <t>Labcorp</t>
  </si>
  <si>
    <t>current vaue</t>
  </si>
  <si>
    <t>AMD</t>
  </si>
  <si>
    <t>BOFA card used</t>
  </si>
  <si>
    <t>Banner health</t>
  </si>
  <si>
    <t>India Trip - Oct'22</t>
  </si>
  <si>
    <t>sweets</t>
  </si>
  <si>
    <t>Lanka Trip</t>
  </si>
  <si>
    <t>Vijaywada Trip</t>
  </si>
  <si>
    <t>Train ticktes</t>
  </si>
  <si>
    <t>BVRM Sisters gifts</t>
  </si>
  <si>
    <t>Tirupati</t>
  </si>
  <si>
    <t>Srisailam</t>
  </si>
  <si>
    <t>Pleasure bike</t>
  </si>
  <si>
    <t>Ola cabs</t>
  </si>
  <si>
    <t>Yadagirigutta</t>
  </si>
  <si>
    <t>Shopping(J+Deep+Max)</t>
  </si>
  <si>
    <t>Medplus+Suncity Hosp</t>
  </si>
  <si>
    <t>Ganapavaram Loan</t>
  </si>
  <si>
    <t>Alekhya Settlement</t>
  </si>
  <si>
    <t>Alekhya Ticket</t>
  </si>
  <si>
    <t>Total INR</t>
  </si>
  <si>
    <t>Total USD</t>
  </si>
  <si>
    <t>Indian Expenses</t>
  </si>
  <si>
    <t>Credits</t>
  </si>
  <si>
    <t>SBI HP Gas</t>
  </si>
  <si>
    <t>India FD</t>
  </si>
  <si>
    <t>Rayalam - 4C</t>
  </si>
  <si>
    <t>Treasury Direct</t>
  </si>
  <si>
    <t>4,00,000</t>
  </si>
  <si>
    <t>Dell laptop</t>
  </si>
  <si>
    <t>Healthcare</t>
  </si>
  <si>
    <t>Zelle JSP</t>
  </si>
  <si>
    <t>Bonds</t>
  </si>
  <si>
    <t>Panda Remit</t>
  </si>
  <si>
    <t>PAST Details</t>
  </si>
  <si>
    <t>(1406+353)reimbursed thru HSA</t>
  </si>
  <si>
    <t>Citi Savings</t>
  </si>
  <si>
    <t>Mar'23</t>
  </si>
  <si>
    <t>2484+457</t>
  </si>
  <si>
    <t>Zelle Costco</t>
  </si>
  <si>
    <t>Transfer to Citi</t>
  </si>
  <si>
    <t>Direct Card Payments</t>
  </si>
  <si>
    <t>Zelle Ravi(Netflix)</t>
  </si>
  <si>
    <t>Village Medical</t>
  </si>
  <si>
    <t>Banner urgent</t>
  </si>
  <si>
    <t>Antonio(Anasthesia)</t>
  </si>
  <si>
    <t>Valley Endo</t>
  </si>
  <si>
    <t>Ariz  Digestive health</t>
  </si>
  <si>
    <t>North valley Anesthisia</t>
  </si>
  <si>
    <t>Walgreens</t>
  </si>
  <si>
    <t>Ariz Urology</t>
  </si>
  <si>
    <t>Anesthitia</t>
  </si>
  <si>
    <t>Village medical</t>
  </si>
  <si>
    <t>Credit Transactions</t>
  </si>
  <si>
    <t>Chase Debit</t>
  </si>
  <si>
    <t>BOFA Debit</t>
  </si>
  <si>
    <t>Tech</t>
  </si>
  <si>
    <t>Infy</t>
  </si>
  <si>
    <t>HCL</t>
  </si>
  <si>
    <t>Wipro</t>
  </si>
  <si>
    <t>Tech Mahindra</t>
  </si>
  <si>
    <t>Finance</t>
  </si>
  <si>
    <t>BAJAJ FINSERV</t>
  </si>
  <si>
    <t>SBI CARDS</t>
  </si>
  <si>
    <t>L&amp;T</t>
  </si>
  <si>
    <t>Pharma</t>
  </si>
  <si>
    <t>Divis</t>
  </si>
  <si>
    <t>Tata Steel</t>
  </si>
  <si>
    <t>ITC</t>
  </si>
  <si>
    <t>Varun beverages</t>
  </si>
  <si>
    <t>Consumer</t>
  </si>
  <si>
    <t>Havells</t>
  </si>
  <si>
    <t>Energy</t>
  </si>
  <si>
    <t>Reliance</t>
  </si>
  <si>
    <t>Bank</t>
  </si>
  <si>
    <t>HDFC</t>
  </si>
  <si>
    <t>Axis</t>
  </si>
  <si>
    <t>IndusInd</t>
  </si>
  <si>
    <t>SBI</t>
  </si>
  <si>
    <t>Kotak</t>
  </si>
  <si>
    <t>Tata Power</t>
  </si>
  <si>
    <t>Tata consumer</t>
  </si>
  <si>
    <t>Adani ports</t>
  </si>
  <si>
    <t>Adani power</t>
  </si>
  <si>
    <t>Cholamandalam</t>
  </si>
  <si>
    <t>HUL</t>
  </si>
  <si>
    <t>Cipla</t>
  </si>
  <si>
    <t>Sun</t>
  </si>
  <si>
    <t>HDFC Life</t>
  </si>
  <si>
    <t>Industries</t>
  </si>
  <si>
    <t>Federal</t>
  </si>
  <si>
    <t>IDFC</t>
  </si>
  <si>
    <t>Reddys</t>
  </si>
  <si>
    <t>LIC</t>
  </si>
  <si>
    <t>April-2022</t>
  </si>
  <si>
    <t>August-2022</t>
  </si>
  <si>
    <t>Sep-2022</t>
  </si>
  <si>
    <t>816120.00</t>
  </si>
  <si>
    <t>GST</t>
  </si>
  <si>
    <t>EMI</t>
  </si>
  <si>
    <t>Down-Payment</t>
  </si>
  <si>
    <t>HDFC fees</t>
  </si>
  <si>
    <t>Only EMI</t>
  </si>
  <si>
    <t>Current Loan Amount</t>
  </si>
  <si>
    <t>Principal Outstanding</t>
  </si>
  <si>
    <t xml:space="preserve">EMI's payed till now </t>
  </si>
  <si>
    <t>EMI money used for principal by bank</t>
  </si>
  <si>
    <t>EMI Money taken as Interest by bank</t>
  </si>
  <si>
    <t>Abound</t>
  </si>
  <si>
    <t>Reg fees</t>
  </si>
  <si>
    <t>Initial estimation</t>
  </si>
  <si>
    <t>India Trip - Aug'23</t>
  </si>
  <si>
    <t>Rakhi</t>
  </si>
  <si>
    <t>Vision</t>
  </si>
  <si>
    <t>Google pay</t>
  </si>
  <si>
    <t>Hosp</t>
  </si>
  <si>
    <t>Dmart</t>
  </si>
  <si>
    <t>cash balance</t>
  </si>
  <si>
    <t>Airport cash expenses</t>
  </si>
  <si>
    <t>GEM Reg doc charges</t>
  </si>
  <si>
    <t>Paid By</t>
  </si>
  <si>
    <t xml:space="preserve">Chase sapphire </t>
  </si>
  <si>
    <t>Jan-4</t>
  </si>
  <si>
    <t>Gulinson</t>
  </si>
  <si>
    <t>Jan-13</t>
  </si>
  <si>
    <t>NV Endo</t>
  </si>
  <si>
    <t>Amsurg Endo</t>
  </si>
  <si>
    <t>J Scudiere</t>
  </si>
  <si>
    <t>VM- Baldwin</t>
  </si>
  <si>
    <t>Apr-16</t>
  </si>
  <si>
    <t>Sep-15</t>
  </si>
  <si>
    <t>Luiz Irizary</t>
  </si>
  <si>
    <t>Sep-28</t>
  </si>
  <si>
    <t>AMOMI</t>
  </si>
  <si>
    <t>Oct-9</t>
  </si>
  <si>
    <t>Nov-9</t>
  </si>
  <si>
    <t>payed thru BOFA</t>
  </si>
  <si>
    <t>payed thru Chase</t>
  </si>
  <si>
    <t>Original is 315.32 ,came as 31.63 after insurance</t>
  </si>
  <si>
    <t>HAS status</t>
  </si>
  <si>
    <t>HSA gave  315.32</t>
  </si>
  <si>
    <t>May-4</t>
  </si>
  <si>
    <t>Pearl Dental</t>
  </si>
  <si>
    <t>May-11</t>
  </si>
  <si>
    <t>Oct-13</t>
  </si>
  <si>
    <t>Canyon Ridge Endodontics</t>
  </si>
  <si>
    <t>Nov-22</t>
  </si>
  <si>
    <t>Dec-14</t>
  </si>
  <si>
    <t>Desert Sage</t>
  </si>
  <si>
    <t>H4-EAD</t>
  </si>
  <si>
    <t>4-Dec</t>
  </si>
  <si>
    <t>House-warming</t>
  </si>
  <si>
    <t>GEM</t>
  </si>
  <si>
    <t>Dec-20</t>
  </si>
  <si>
    <t>February 2022</t>
  </si>
  <si>
    <t>Desert Sage pre-payment</t>
  </si>
  <si>
    <t>Oct-26</t>
  </si>
  <si>
    <t>Jan-02</t>
  </si>
  <si>
    <t>payed thru Chase unlimited</t>
  </si>
  <si>
    <t>(2019 Sep-current)</t>
  </si>
  <si>
    <t>India Stocks(Apr 2023 - current)</t>
  </si>
  <si>
    <t>Febuary</t>
  </si>
  <si>
    <t>Amex Savings</t>
  </si>
  <si>
    <t>Mar'24</t>
  </si>
  <si>
    <t>717-243</t>
  </si>
  <si>
    <t>Jan-31</t>
  </si>
  <si>
    <t>HAS reimbursed me</t>
  </si>
  <si>
    <t>Feb-1</t>
  </si>
  <si>
    <t>Mar-4</t>
  </si>
  <si>
    <t>Newby</t>
  </si>
  <si>
    <t>Mar-6</t>
  </si>
  <si>
    <t>Sonora quest</t>
  </si>
  <si>
    <t>Urban District</t>
  </si>
  <si>
    <t>COMPANY</t>
  </si>
  <si>
    <t>INDUSTRY</t>
  </si>
  <si>
    <t>ASIAN PAINTS</t>
  </si>
  <si>
    <t>PAINTS</t>
  </si>
  <si>
    <t>AXIS BANK</t>
  </si>
  <si>
    <t>BANKING</t>
  </si>
  <si>
    <t>BAJAJ FINANCE</t>
  </si>
  <si>
    <t>FINANCE</t>
  </si>
  <si>
    <t>BHARTI AIRTEL</t>
  </si>
  <si>
    <t>TELECOM</t>
  </si>
  <si>
    <t>HCL TECHNOLOGIES</t>
  </si>
  <si>
    <t>SOFTWARE</t>
  </si>
  <si>
    <t>HDFC BANK</t>
  </si>
  <si>
    <t>HINDUSTAN UNILEVER</t>
  </si>
  <si>
    <t>FMCG</t>
  </si>
  <si>
    <t>ICICI BANK</t>
  </si>
  <si>
    <t>INDUSIND BANK</t>
  </si>
  <si>
    <t>INFOSYS</t>
  </si>
  <si>
    <t>FOOD &amp; TOBACCO</t>
  </si>
  <si>
    <t>JSW STEEL</t>
  </si>
  <si>
    <t>STEEL</t>
  </si>
  <si>
    <t>KOTAK MAHINDRA BANK</t>
  </si>
  <si>
    <t>ENGINEERING</t>
  </si>
  <si>
    <t>M&amp;M</t>
  </si>
  <si>
    <t>AUTOMOBILES</t>
  </si>
  <si>
    <t>MARUTI SUZUKI</t>
  </si>
  <si>
    <t>NESTLE</t>
  </si>
  <si>
    <t>NTPC</t>
  </si>
  <si>
    <t>POWER</t>
  </si>
  <si>
    <t>POWER GRID</t>
  </si>
  <si>
    <t>RELIANCE IND.</t>
  </si>
  <si>
    <t>ENERGY</t>
  </si>
  <si>
    <t>SUN PHARMA</t>
  </si>
  <si>
    <t>PHARMACEUTICALS</t>
  </si>
  <si>
    <t>TATA MOTORS</t>
  </si>
  <si>
    <t>TATA STEEL</t>
  </si>
  <si>
    <t>TECH MAHINDRA</t>
  </si>
  <si>
    <t>TITAN</t>
  </si>
  <si>
    <t>RETAILING</t>
  </si>
  <si>
    <t>ULTRATECH CEMENT</t>
  </si>
  <si>
    <t>CEMENT</t>
  </si>
  <si>
    <t>WIPRO</t>
  </si>
  <si>
    <t>BSE Sensex</t>
  </si>
  <si>
    <t>Nifty 50</t>
  </si>
  <si>
    <t>ADANI ENTERPRISES</t>
  </si>
  <si>
    <t>ADANI PORTS &amp; SEZ</t>
  </si>
  <si>
    <t>APOLLO HOSPITALS</t>
  </si>
  <si>
    <t>BAJAJ AUTO</t>
  </si>
  <si>
    <t>BPCL</t>
  </si>
  <si>
    <t>CIPLA</t>
  </si>
  <si>
    <t>COAL INDIA</t>
  </si>
  <si>
    <t>MINING</t>
  </si>
  <si>
    <t>DIVIS LABORATORIES</t>
  </si>
  <si>
    <t>DR. REDDYS LAB</t>
  </si>
  <si>
    <t>EICHER MOTORS</t>
  </si>
  <si>
    <t>GRASIM</t>
  </si>
  <si>
    <t>TEXTILES</t>
  </si>
  <si>
    <t>HDFC LIFE INSURANCE</t>
  </si>
  <si>
    <t>INSURANCE</t>
  </si>
  <si>
    <t>HERO MOTOCORP</t>
  </si>
  <si>
    <t>HINDALCO</t>
  </si>
  <si>
    <t>ALUMINIUM</t>
  </si>
  <si>
    <t>IOC</t>
  </si>
  <si>
    <t>LTIMINDTREE</t>
  </si>
  <si>
    <t>ONGC</t>
  </si>
  <si>
    <t>SBI LIFE INSURANCE</t>
  </si>
  <si>
    <t>TATA CONSUMER</t>
  </si>
  <si>
    <t>UPL</t>
  </si>
  <si>
    <t>CHEMICALS</t>
  </si>
  <si>
    <t>US PASSPORT</t>
  </si>
  <si>
    <t>Zelle Vikas</t>
  </si>
  <si>
    <t>BOFA ATM</t>
  </si>
  <si>
    <t>Alekhya Mom ticket</t>
  </si>
  <si>
    <t>(50000+28000+24000)</t>
  </si>
  <si>
    <t>GEM Extras</t>
  </si>
  <si>
    <t>Cleaning</t>
  </si>
  <si>
    <t>Copper wiring</t>
  </si>
  <si>
    <t>Electric material</t>
  </si>
  <si>
    <t>Elecrician</t>
  </si>
  <si>
    <t>Granite work</t>
  </si>
  <si>
    <t>Plastering</t>
  </si>
  <si>
    <t>Grills</t>
  </si>
  <si>
    <t>Mesh doors</t>
  </si>
  <si>
    <t>Closet handles</t>
  </si>
  <si>
    <t>Gopurams</t>
  </si>
  <si>
    <t>Ceiling Fans</t>
  </si>
  <si>
    <t>Tiles</t>
  </si>
  <si>
    <t>Geysers</t>
  </si>
  <si>
    <t>Curtain Rods + Dryer Rods + Soap stands</t>
  </si>
  <si>
    <t>Wood work</t>
  </si>
  <si>
    <t>Ceiling</t>
  </si>
  <si>
    <t>Chimney</t>
  </si>
  <si>
    <t>Plumbing work</t>
  </si>
  <si>
    <t>Painting(2 coats)</t>
  </si>
  <si>
    <t>All Glass work</t>
  </si>
  <si>
    <t>Total housework</t>
  </si>
  <si>
    <t>2023-2024</t>
  </si>
  <si>
    <t>Surya + Phani + Alekhya (paid to AY and YPB)</t>
  </si>
  <si>
    <t>Corpus Fund</t>
  </si>
  <si>
    <t>Maintenance charges</t>
  </si>
  <si>
    <t>sold vwusx for 3156</t>
  </si>
  <si>
    <t>Pigeon net + Gas fixing</t>
  </si>
  <si>
    <t>Total Loan Amount</t>
  </si>
  <si>
    <t>10-Oct</t>
  </si>
  <si>
    <t>2014-2016</t>
  </si>
  <si>
    <t>2017-ATT</t>
  </si>
  <si>
    <t>2023-Verizon+LYCA</t>
  </si>
  <si>
    <t>MOBILES</t>
  </si>
  <si>
    <t>Principal payed</t>
  </si>
  <si>
    <t>Corpus refund</t>
  </si>
  <si>
    <t>Nestle</t>
  </si>
  <si>
    <t>KPIT tech</t>
  </si>
  <si>
    <t>Sl.No</t>
  </si>
  <si>
    <t>Company Name</t>
  </si>
  <si>
    <t>Industry</t>
  </si>
  <si>
    <t>Symbol</t>
  </si>
  <si>
    <t>360 ONE WAM Ltd.</t>
  </si>
  <si>
    <t>Financial Services</t>
  </si>
  <si>
    <t>360ONE</t>
  </si>
  <si>
    <t>3M India Ltd.</t>
  </si>
  <si>
    <t>Diversified</t>
  </si>
  <si>
    <t>3MINDIA</t>
  </si>
  <si>
    <t>ABB India Ltd.</t>
  </si>
  <si>
    <t>Capital Goods</t>
  </si>
  <si>
    <t>ABB</t>
  </si>
  <si>
    <t>ACC Ltd.</t>
  </si>
  <si>
    <t>Construction Materials</t>
  </si>
  <si>
    <t>ACC</t>
  </si>
  <si>
    <t>AIA Engineering Ltd.</t>
  </si>
  <si>
    <t>AIAENG</t>
  </si>
  <si>
    <t>APL Apollo Tubes Ltd.</t>
  </si>
  <si>
    <t>APLAPOLLO</t>
  </si>
  <si>
    <t>AU Small Finance Bank Ltd.</t>
  </si>
  <si>
    <t>AUBANK</t>
  </si>
  <si>
    <t>Aarti Industries Ltd.</t>
  </si>
  <si>
    <t>Chemicals</t>
  </si>
  <si>
    <t>AARTIIND</t>
  </si>
  <si>
    <t>Aavas Financiers Ltd.</t>
  </si>
  <si>
    <t>AAVAS</t>
  </si>
  <si>
    <t>Abbott India Ltd.</t>
  </si>
  <si>
    <t>ABBOTINDIA</t>
  </si>
  <si>
    <t>Action Construction Equipment Ltd.</t>
  </si>
  <si>
    <t>ACE</t>
  </si>
  <si>
    <t>Adani Energy Solutions Ltd.</t>
  </si>
  <si>
    <t>Power</t>
  </si>
  <si>
    <t>ADANIENSOL</t>
  </si>
  <si>
    <t>Adani Enterprises Ltd.</t>
  </si>
  <si>
    <t>Metals &amp; Mining</t>
  </si>
  <si>
    <t>ADANIENT</t>
  </si>
  <si>
    <t>Adani Green Energy Ltd.</t>
  </si>
  <si>
    <t>ADANIGREEN</t>
  </si>
  <si>
    <t>Adani Ports and Special Economic Zone Ltd.</t>
  </si>
  <si>
    <t>Services</t>
  </si>
  <si>
    <t>ADANIPORTS</t>
  </si>
  <si>
    <t>Adani Power Ltd.</t>
  </si>
  <si>
    <t>ADANIPOWER</t>
  </si>
  <si>
    <t>Adani Total Gas Ltd.</t>
  </si>
  <si>
    <t>Oil Gas &amp; Consumable Fuels</t>
  </si>
  <si>
    <t>ATGL</t>
  </si>
  <si>
    <t>Adani Wilmar Ltd.</t>
  </si>
  <si>
    <t>Fast Moving Consumer Goods</t>
  </si>
  <si>
    <t>AWL</t>
  </si>
  <si>
    <t>Aditya Birla Capital Ltd.</t>
  </si>
  <si>
    <t>ABCAPITAL</t>
  </si>
  <si>
    <t>Aditya Birla Fashion and Retail Ltd.</t>
  </si>
  <si>
    <t>Consumer Services</t>
  </si>
  <si>
    <t>ABFRL</t>
  </si>
  <si>
    <t>Aegis Logistics Ltd.</t>
  </si>
  <si>
    <t>AEGISLOG</t>
  </si>
  <si>
    <t>Aether Industries Ltd.</t>
  </si>
  <si>
    <t>AETHER</t>
  </si>
  <si>
    <t>Affle (India) Ltd.</t>
  </si>
  <si>
    <t>Information Technology</t>
  </si>
  <si>
    <t>AFFLE</t>
  </si>
  <si>
    <t>Ajanta Pharmaceuticals Ltd.</t>
  </si>
  <si>
    <t>AJANTPHARM</t>
  </si>
  <si>
    <t>Alembic Pharmaceuticals Ltd.</t>
  </si>
  <si>
    <t>APLLTD</t>
  </si>
  <si>
    <t>Alkem Laboratories Ltd.</t>
  </si>
  <si>
    <t>ALKEM</t>
  </si>
  <si>
    <t>Alkyl Amines Chemicals Ltd.</t>
  </si>
  <si>
    <t>ALKYLAMINE</t>
  </si>
  <si>
    <t>Allcargo Logistics Ltd.</t>
  </si>
  <si>
    <t>ALLCARGO</t>
  </si>
  <si>
    <t>Alok Industries Ltd.</t>
  </si>
  <si>
    <t>Textiles</t>
  </si>
  <si>
    <t>ALOKINDS</t>
  </si>
  <si>
    <t>Amara Raja Energy &amp; Mobility Ltd.</t>
  </si>
  <si>
    <t>Automobile and Auto Components</t>
  </si>
  <si>
    <t>ARE&amp;M</t>
  </si>
  <si>
    <t>Amber Enterprises India Ltd.</t>
  </si>
  <si>
    <t>Consumer Durables</t>
  </si>
  <si>
    <t>AMBER</t>
  </si>
  <si>
    <t>Ambuja Cements Ltd.</t>
  </si>
  <si>
    <t>AMBUJACEM</t>
  </si>
  <si>
    <t>Anand Rathi Wealth Ltd.</t>
  </si>
  <si>
    <t>ANANDRATHI</t>
  </si>
  <si>
    <t>Angel One Ltd.</t>
  </si>
  <si>
    <t>ANGELONE</t>
  </si>
  <si>
    <t>Anupam Rasayan India Ltd.</t>
  </si>
  <si>
    <t>ANURAS</t>
  </si>
  <si>
    <t>Apar Industries Ltd.</t>
  </si>
  <si>
    <t>APARINDS</t>
  </si>
  <si>
    <t>Apollo Hospitals Enterprise Ltd.</t>
  </si>
  <si>
    <t>APOLLOHOSP</t>
  </si>
  <si>
    <t>Apollo Tyres Ltd.</t>
  </si>
  <si>
    <t>APOLLOTYRE</t>
  </si>
  <si>
    <t>Aptus Value Housing Finance India Ltd.</t>
  </si>
  <si>
    <t>APTUS</t>
  </si>
  <si>
    <t>Archean Chemical Industries Ltd.</t>
  </si>
  <si>
    <t>ACI</t>
  </si>
  <si>
    <t>Asahi India Glass Ltd.</t>
  </si>
  <si>
    <t>ASAHIINDIA</t>
  </si>
  <si>
    <t>Ashok Leyland Ltd.</t>
  </si>
  <si>
    <t>ASHOKLEY</t>
  </si>
  <si>
    <t>Asian Paints Ltd.</t>
  </si>
  <si>
    <t>ASIANPAINT</t>
  </si>
  <si>
    <t>Aster DM Healthcare Ltd.</t>
  </si>
  <si>
    <t>ASTERDM</t>
  </si>
  <si>
    <t>AstraZenca Pharma India Ltd.</t>
  </si>
  <si>
    <t>ASTRAZEN</t>
  </si>
  <si>
    <t>Astral Ltd.</t>
  </si>
  <si>
    <t>ASTRAL</t>
  </si>
  <si>
    <t>Atul Ltd.</t>
  </si>
  <si>
    <t>ATUL</t>
  </si>
  <si>
    <t>Aurobindo Pharma Ltd.</t>
  </si>
  <si>
    <t>AUROPHARMA</t>
  </si>
  <si>
    <t>Avanti Feeds Ltd.</t>
  </si>
  <si>
    <t>AVANTIFEED</t>
  </si>
  <si>
    <t>Avenue Supermarts Ltd.</t>
  </si>
  <si>
    <t>DMART</t>
  </si>
  <si>
    <t>Axis Bank Ltd.</t>
  </si>
  <si>
    <t>AXISBANK</t>
  </si>
  <si>
    <t>BEML Ltd.</t>
  </si>
  <si>
    <t>BEML</t>
  </si>
  <si>
    <t>BLS International Services Ltd.</t>
  </si>
  <si>
    <t>BLS</t>
  </si>
  <si>
    <t>BSE Ltd.</t>
  </si>
  <si>
    <t>BSE</t>
  </si>
  <si>
    <t>Bajaj Auto Ltd.</t>
  </si>
  <si>
    <t>BAJAJ-AUTO</t>
  </si>
  <si>
    <t>Bajaj Finance Ltd.</t>
  </si>
  <si>
    <t>BAJFINANCE</t>
  </si>
  <si>
    <t>Bajaj Finserv Ltd.</t>
  </si>
  <si>
    <t>BAJAJFINSV</t>
  </si>
  <si>
    <t>Bajaj Holdings &amp; Investment Ltd.</t>
  </si>
  <si>
    <t>BAJAJHLDNG</t>
  </si>
  <si>
    <t>Balaji Amines Ltd.</t>
  </si>
  <si>
    <t>BALAMINES</t>
  </si>
  <si>
    <t>Balkrishna Industries Ltd.</t>
  </si>
  <si>
    <t>BALKRISIND</t>
  </si>
  <si>
    <t>Balrampur Chini Mills Ltd.</t>
  </si>
  <si>
    <t>BALRAMCHIN</t>
  </si>
  <si>
    <t>Bandhan Bank Ltd.</t>
  </si>
  <si>
    <t>BANDHANBNK</t>
  </si>
  <si>
    <t>Bank of Baroda</t>
  </si>
  <si>
    <t>BANKBARODA</t>
  </si>
  <si>
    <t>Bank of India</t>
  </si>
  <si>
    <t>BANKINDIA</t>
  </si>
  <si>
    <t>Bank of Maharashtra</t>
  </si>
  <si>
    <t>MAHABANK</t>
  </si>
  <si>
    <t>Bata India Ltd.</t>
  </si>
  <si>
    <t>BATAINDIA</t>
  </si>
  <si>
    <t>Bayer Cropscience Ltd.</t>
  </si>
  <si>
    <t>BAYERCROP</t>
  </si>
  <si>
    <t>Berger Paints India Ltd.</t>
  </si>
  <si>
    <t>BERGEPAINT</t>
  </si>
  <si>
    <t>Bharat Dynamics Ltd.</t>
  </si>
  <si>
    <t>BDL</t>
  </si>
  <si>
    <t>Bharat Electronics Ltd.</t>
  </si>
  <si>
    <t>BEL</t>
  </si>
  <si>
    <t>Bharat Forge Ltd.</t>
  </si>
  <si>
    <t>BHARATFORG</t>
  </si>
  <si>
    <t>Bharat Heavy Electricals Ltd.</t>
  </si>
  <si>
    <t>BHEL</t>
  </si>
  <si>
    <t>Bharat Petroleum Corporation Ltd.</t>
  </si>
  <si>
    <t>Bharti Airtel Ltd.</t>
  </si>
  <si>
    <t>Telecommunication</t>
  </si>
  <si>
    <t>BHARTIARTL</t>
  </si>
  <si>
    <t>Bikaji Foods International Ltd.</t>
  </si>
  <si>
    <t>BIKAJI</t>
  </si>
  <si>
    <t>Biocon Ltd.</t>
  </si>
  <si>
    <t>BIOCON</t>
  </si>
  <si>
    <t>Birla Corporation Ltd.</t>
  </si>
  <si>
    <t>BIRLACORPN</t>
  </si>
  <si>
    <t>Birlasoft Ltd.</t>
  </si>
  <si>
    <t>BSOFT</t>
  </si>
  <si>
    <t>Blue Dart Express Ltd.</t>
  </si>
  <si>
    <t>BLUEDART</t>
  </si>
  <si>
    <t>Blue Star Ltd.</t>
  </si>
  <si>
    <t>BLUESTARCO</t>
  </si>
  <si>
    <t>Bombay Burmah Trading Corporation Ltd.</t>
  </si>
  <si>
    <t>BBTC</t>
  </si>
  <si>
    <t>Borosil Renewables Ltd.</t>
  </si>
  <si>
    <t>BORORENEW</t>
  </si>
  <si>
    <t>Bosch Ltd.</t>
  </si>
  <si>
    <t>BOSCHLTD</t>
  </si>
  <si>
    <t>Brigade Enterprises Ltd.</t>
  </si>
  <si>
    <t>Realty</t>
  </si>
  <si>
    <t>BRIGADE</t>
  </si>
  <si>
    <t>Britannia Industries Ltd.</t>
  </si>
  <si>
    <t>BRITANNIA</t>
  </si>
  <si>
    <t>C.E. Info Systems Ltd.</t>
  </si>
  <si>
    <t>MAPMYINDIA</t>
  </si>
  <si>
    <t>CCL Products (I) Ltd.</t>
  </si>
  <si>
    <t>CCL</t>
  </si>
  <si>
    <t>CESC Ltd.</t>
  </si>
  <si>
    <t>CESC</t>
  </si>
  <si>
    <t>CG Power and Industrial Solutions Ltd.</t>
  </si>
  <si>
    <t>CGPOWER</t>
  </si>
  <si>
    <t>CIE Automotive India Ltd.</t>
  </si>
  <si>
    <t>CIEINDIA</t>
  </si>
  <si>
    <t>CRISIL Ltd.</t>
  </si>
  <si>
    <t>CRISIL</t>
  </si>
  <si>
    <t>CSB Bank Ltd.</t>
  </si>
  <si>
    <t>CSBBANK</t>
  </si>
  <si>
    <t>Campus Activewear Ltd.</t>
  </si>
  <si>
    <t>CAMPUS</t>
  </si>
  <si>
    <t>Can Fin Homes Ltd.</t>
  </si>
  <si>
    <t>CANFINHOME</t>
  </si>
  <si>
    <t>Canara Bank</t>
  </si>
  <si>
    <t>CANBK</t>
  </si>
  <si>
    <t>Caplin Point Laboratories Ltd.</t>
  </si>
  <si>
    <t>CAPLIPOINT</t>
  </si>
  <si>
    <t>Capri Global Capital Ltd.</t>
  </si>
  <si>
    <t>CGCL</t>
  </si>
  <si>
    <t>Carborundum Universal Ltd.</t>
  </si>
  <si>
    <t>CARBORUNIV</t>
  </si>
  <si>
    <t>Castrol India Ltd.</t>
  </si>
  <si>
    <t>CASTROLIND</t>
  </si>
  <si>
    <t>Ceat Ltd.</t>
  </si>
  <si>
    <t>CEATLTD</t>
  </si>
  <si>
    <t>Cello World Ltd.</t>
  </si>
  <si>
    <t>CELLO</t>
  </si>
  <si>
    <t>Central Bank of India</t>
  </si>
  <si>
    <t>CENTRALBK</t>
  </si>
  <si>
    <t>Central Depository Services (India) Ltd.</t>
  </si>
  <si>
    <t>CDSL</t>
  </si>
  <si>
    <t>Century Plyboards (India) Ltd.</t>
  </si>
  <si>
    <t>CENTURYPLY</t>
  </si>
  <si>
    <t>Century Textile &amp; Industries Ltd.</t>
  </si>
  <si>
    <t>Forest Materials</t>
  </si>
  <si>
    <t>CENTURYTEX</t>
  </si>
  <si>
    <t>Cera Sanitaryware Ltd</t>
  </si>
  <si>
    <t>CERA</t>
  </si>
  <si>
    <t>Chalet Hotels Ltd.</t>
  </si>
  <si>
    <t>CHALET</t>
  </si>
  <si>
    <t>Chambal Fertilizers &amp; Chemicals Ltd.</t>
  </si>
  <si>
    <t>CHAMBLFERT</t>
  </si>
  <si>
    <t>Chemplast Sanmar Ltd.</t>
  </si>
  <si>
    <t>CHEMPLASTS</t>
  </si>
  <si>
    <t>Chennai Petroleum Corporation Ltd.</t>
  </si>
  <si>
    <t>CHENNPETRO</t>
  </si>
  <si>
    <t>Cholamandalam Financial Holdings Ltd.</t>
  </si>
  <si>
    <t>CHOLAHLDNG</t>
  </si>
  <si>
    <t>Cholamandalam Investment and Finance Company Ltd.</t>
  </si>
  <si>
    <t>CHOLAFIN</t>
  </si>
  <si>
    <t>Cipla Ltd.</t>
  </si>
  <si>
    <t>City Union Bank Ltd.</t>
  </si>
  <si>
    <t>CUB</t>
  </si>
  <si>
    <t>Clean Science and Technology Ltd.</t>
  </si>
  <si>
    <t>CLEAN</t>
  </si>
  <si>
    <t>Coal India Ltd.</t>
  </si>
  <si>
    <t>COALINDIA</t>
  </si>
  <si>
    <t>Cochin Shipyard Ltd.</t>
  </si>
  <si>
    <t>COCHINSHIP</t>
  </si>
  <si>
    <t>Coforge Ltd.</t>
  </si>
  <si>
    <t>COFORGE</t>
  </si>
  <si>
    <t>Colgate Palmolive (India) Ltd.</t>
  </si>
  <si>
    <t>COLPAL</t>
  </si>
  <si>
    <t>Computer Age Management Services Ltd.</t>
  </si>
  <si>
    <t>CAMS</t>
  </si>
  <si>
    <t>Concord Biotech Ltd.</t>
  </si>
  <si>
    <t>CONCORDBIO</t>
  </si>
  <si>
    <t>Container Corporation of India Ltd.</t>
  </si>
  <si>
    <t>CONCOR</t>
  </si>
  <si>
    <t>Coromandel International Ltd.</t>
  </si>
  <si>
    <t>COROMANDEL</t>
  </si>
  <si>
    <t>Craftsman Automation Ltd.</t>
  </si>
  <si>
    <t>CRAFTSMAN</t>
  </si>
  <si>
    <t>CreditAccess Grameen Ltd.</t>
  </si>
  <si>
    <t>CREDITACC</t>
  </si>
  <si>
    <t>Crompton Greaves Consumer Electricals Ltd.</t>
  </si>
  <si>
    <t>CROMPTON</t>
  </si>
  <si>
    <t>Cummins India Ltd.</t>
  </si>
  <si>
    <t>CUMMINSIND</t>
  </si>
  <si>
    <t>Cyient Ltd.</t>
  </si>
  <si>
    <t>CYIENT</t>
  </si>
  <si>
    <t>DCM Shriram Ltd.</t>
  </si>
  <si>
    <t>DCMSHRIRAM</t>
  </si>
  <si>
    <t>DLF Ltd.</t>
  </si>
  <si>
    <t>DLF</t>
  </si>
  <si>
    <t>DOMS Industries Ltd.</t>
  </si>
  <si>
    <t>DOMS</t>
  </si>
  <si>
    <t>Dabur India Ltd.</t>
  </si>
  <si>
    <t>DABUR</t>
  </si>
  <si>
    <t>Dalmia Bharat Ltd.</t>
  </si>
  <si>
    <t>DALBHARAT</t>
  </si>
  <si>
    <t>Data Patterns (India) Ltd.</t>
  </si>
  <si>
    <t>DATAPATTNS</t>
  </si>
  <si>
    <t>Deepak Fertilisers &amp; Petrochemicals Corp. Ltd.</t>
  </si>
  <si>
    <t>DEEPAKFERT</t>
  </si>
  <si>
    <t>Deepak Nitrite Ltd.</t>
  </si>
  <si>
    <t>DEEPAKNTR</t>
  </si>
  <si>
    <t>Delhivery Ltd.</t>
  </si>
  <si>
    <t>DELHIVERY</t>
  </si>
  <si>
    <t>Devyani International Ltd.</t>
  </si>
  <si>
    <t>DEVYANI</t>
  </si>
  <si>
    <t>Divi's Laboratories Ltd.</t>
  </si>
  <si>
    <t>DIVISLAB</t>
  </si>
  <si>
    <t>Dixon Technologies (India) Ltd.</t>
  </si>
  <si>
    <t>DIXON</t>
  </si>
  <si>
    <t>Dr. Lal Path Labs Ltd.</t>
  </si>
  <si>
    <t>LALPATHLAB</t>
  </si>
  <si>
    <t>Dr. Reddy's Laboratories Ltd.</t>
  </si>
  <si>
    <t>DRREDDY</t>
  </si>
  <si>
    <t>E.I.D. Parry (India) Ltd.</t>
  </si>
  <si>
    <t>EIDPARRY</t>
  </si>
  <si>
    <t>EIH Ltd.</t>
  </si>
  <si>
    <t>EIHOTEL</t>
  </si>
  <si>
    <t>EPL Ltd.</t>
  </si>
  <si>
    <t>EPL</t>
  </si>
  <si>
    <t>Easy Trip Planners Ltd.</t>
  </si>
  <si>
    <t>EASEMYTRIP</t>
  </si>
  <si>
    <t>Eicher Motors Ltd.</t>
  </si>
  <si>
    <t>EICHERMOT</t>
  </si>
  <si>
    <t>Elecon Engineering Co. Ltd.</t>
  </si>
  <si>
    <t>ELECON</t>
  </si>
  <si>
    <t>Elgi Equipments Ltd.</t>
  </si>
  <si>
    <t>ELGIEQUIP</t>
  </si>
  <si>
    <t>Emami Ltd.</t>
  </si>
  <si>
    <t>EMAMILTD</t>
  </si>
  <si>
    <t>Endurance Technologies Ltd.</t>
  </si>
  <si>
    <t>ENDURANCE</t>
  </si>
  <si>
    <t>Engineers India Ltd.</t>
  </si>
  <si>
    <t>Construction</t>
  </si>
  <si>
    <t>ENGINERSIN</t>
  </si>
  <si>
    <t>Equitas Small Finance Bank Ltd.</t>
  </si>
  <si>
    <t>EQUITASBNK</t>
  </si>
  <si>
    <t>Eris Lifesciences Ltd.</t>
  </si>
  <si>
    <t>ERIS</t>
  </si>
  <si>
    <t>Escorts Kubota Ltd.</t>
  </si>
  <si>
    <t>ESCORTS</t>
  </si>
  <si>
    <t>Exide Industries Ltd.</t>
  </si>
  <si>
    <t>EXIDEIND</t>
  </si>
  <si>
    <t>FDC Ltd.</t>
  </si>
  <si>
    <t>FDC</t>
  </si>
  <si>
    <t>FSN E-Commerce Ventures Ltd.</t>
  </si>
  <si>
    <t>NYKAA</t>
  </si>
  <si>
    <t>Federal Bank Ltd.</t>
  </si>
  <si>
    <t>FEDERALBNK</t>
  </si>
  <si>
    <t>Fertilisers and Chemicals Travancore Ltd.</t>
  </si>
  <si>
    <t>FACT</t>
  </si>
  <si>
    <t>Fine Organic Industries Ltd.</t>
  </si>
  <si>
    <t>FINEORG</t>
  </si>
  <si>
    <t>Finolex Cables Ltd.</t>
  </si>
  <si>
    <t>FINCABLES</t>
  </si>
  <si>
    <t>Finolex Industries Ltd.</t>
  </si>
  <si>
    <t>FINPIPE</t>
  </si>
  <si>
    <t>Firstsource Solutions Ltd.</t>
  </si>
  <si>
    <t>FSL</t>
  </si>
  <si>
    <t>Five-Star Business Finance Ltd.</t>
  </si>
  <si>
    <t>FIVESTAR</t>
  </si>
  <si>
    <t>Fortis Healthcare Ltd.</t>
  </si>
  <si>
    <t>FORTIS</t>
  </si>
  <si>
    <t>GAIL (India) Ltd.</t>
  </si>
  <si>
    <t>GAIL</t>
  </si>
  <si>
    <t>GMM Pfaudler Ltd.</t>
  </si>
  <si>
    <t>GMMPFAUDLR</t>
  </si>
  <si>
    <t>GMR Airports Infrastructure Ltd.</t>
  </si>
  <si>
    <t>GMRINFRA</t>
  </si>
  <si>
    <t>Garden Reach Shipbuilders &amp; Engineers Ltd.</t>
  </si>
  <si>
    <t>GRSE</t>
  </si>
  <si>
    <t>General Insurance Corporation of India</t>
  </si>
  <si>
    <t>GICRE</t>
  </si>
  <si>
    <t>Gillette India Ltd.</t>
  </si>
  <si>
    <t>GILLETTE</t>
  </si>
  <si>
    <t>Gland Pharma Ltd.</t>
  </si>
  <si>
    <t>GLAND</t>
  </si>
  <si>
    <t>Glaxosmithkline Pharmaceuticals Ltd.</t>
  </si>
  <si>
    <t>GLAXO</t>
  </si>
  <si>
    <t>Glenmark Life Sciences Ltd.</t>
  </si>
  <si>
    <t>GLS</t>
  </si>
  <si>
    <t>Glenmark Pharmaceuticals Ltd.</t>
  </si>
  <si>
    <t>GLENMARK</t>
  </si>
  <si>
    <t>Global Health Ltd.</t>
  </si>
  <si>
    <t>MEDANTA</t>
  </si>
  <si>
    <t>Godawari Power &amp; Ispat Ltd.</t>
  </si>
  <si>
    <t>GPIL</t>
  </si>
  <si>
    <t>Godfrey Phillips India Ltd.</t>
  </si>
  <si>
    <t>GODFRYPHLP</t>
  </si>
  <si>
    <t>Godrej Consumer Products Ltd.</t>
  </si>
  <si>
    <t>GODREJCP</t>
  </si>
  <si>
    <t>Godrej Industries Ltd.</t>
  </si>
  <si>
    <t>GODREJIND</t>
  </si>
  <si>
    <t>Godrej Properties Ltd.</t>
  </si>
  <si>
    <t>GODREJPROP</t>
  </si>
  <si>
    <t>Granules India Ltd.</t>
  </si>
  <si>
    <t>GRANULES</t>
  </si>
  <si>
    <t>Graphite India Ltd.</t>
  </si>
  <si>
    <t>GRAPHITE</t>
  </si>
  <si>
    <t>Grasim Industries Ltd.</t>
  </si>
  <si>
    <t>Great Eastern Shipping Co. Ltd.</t>
  </si>
  <si>
    <t>GESHIP</t>
  </si>
  <si>
    <t>Grindwell Norton Ltd.</t>
  </si>
  <si>
    <t>GRINDWELL</t>
  </si>
  <si>
    <t>Gujarat Ambuja Exports Ltd.</t>
  </si>
  <si>
    <t>GAEL</t>
  </si>
  <si>
    <t>Gujarat Fluorochemicals Ltd.</t>
  </si>
  <si>
    <t>FLUOROCHEM</t>
  </si>
  <si>
    <t>Gujarat Gas Ltd.</t>
  </si>
  <si>
    <t>GUJGASLTD</t>
  </si>
  <si>
    <t>Gujarat Mineral Development Corporation Ltd.</t>
  </si>
  <si>
    <t>GMDCLTD</t>
  </si>
  <si>
    <t>Gujarat Narmada Valley Fertilizers and Chemicals Ltd.</t>
  </si>
  <si>
    <t>GNFC</t>
  </si>
  <si>
    <t>Gujarat Pipavav Port Ltd.</t>
  </si>
  <si>
    <t>GPPL</t>
  </si>
  <si>
    <t>Gujarat State Fertilizers &amp; Chemicals Ltd.</t>
  </si>
  <si>
    <t>GSFC</t>
  </si>
  <si>
    <t>Gujarat State Petronet Ltd.</t>
  </si>
  <si>
    <t>GSPL</t>
  </si>
  <si>
    <t>H.E.G. Ltd.</t>
  </si>
  <si>
    <t>HEG</t>
  </si>
  <si>
    <t>HBL Power Systems Ltd.</t>
  </si>
  <si>
    <t>HBLPOWER</t>
  </si>
  <si>
    <t>HCL Technologies Ltd.</t>
  </si>
  <si>
    <t>HCLTECH</t>
  </si>
  <si>
    <t>HDFC Asset Management Company Ltd.</t>
  </si>
  <si>
    <t>HDFCAMC</t>
  </si>
  <si>
    <t>HDFC Bank Ltd.</t>
  </si>
  <si>
    <t>HDFCBANK</t>
  </si>
  <si>
    <t>HDFC Life Insurance Company Ltd.</t>
  </si>
  <si>
    <t>HDFCLIFE</t>
  </si>
  <si>
    <t>HFCL Ltd.</t>
  </si>
  <si>
    <t>HFCL</t>
  </si>
  <si>
    <t>Happiest Minds Technologies Ltd.</t>
  </si>
  <si>
    <t>HAPPSTMNDS</t>
  </si>
  <si>
    <t>Happy Forgings Ltd.</t>
  </si>
  <si>
    <t>HAPPYFORGE</t>
  </si>
  <si>
    <t>Havells India Ltd.</t>
  </si>
  <si>
    <t>HAVELLS</t>
  </si>
  <si>
    <t>Hero MotoCorp Ltd.</t>
  </si>
  <si>
    <t>HEROMOTOCO</t>
  </si>
  <si>
    <t>Himadri Speciality Chemical Ltd.</t>
  </si>
  <si>
    <t>HSCL</t>
  </si>
  <si>
    <t>Hindalco Industries Ltd.</t>
  </si>
  <si>
    <t>Hindustan Aeronautics Ltd.</t>
  </si>
  <si>
    <t>HAL</t>
  </si>
  <si>
    <t>Hindustan Copper Ltd.</t>
  </si>
  <si>
    <t>HINDCOPPER</t>
  </si>
  <si>
    <t>Hindustan Petroleum Corporation Ltd.</t>
  </si>
  <si>
    <t>HINDPETRO</t>
  </si>
  <si>
    <t>Hindustan Unilever Ltd.</t>
  </si>
  <si>
    <t>HINDUNILVR</t>
  </si>
  <si>
    <t>Hindustan Zinc Ltd.</t>
  </si>
  <si>
    <t>HINDZINC</t>
  </si>
  <si>
    <t>Hitachi Energy India Ltd.</t>
  </si>
  <si>
    <t>POWERINDIA</t>
  </si>
  <si>
    <t>Home First Finance Company India Ltd.</t>
  </si>
  <si>
    <t>HOMEFIRST</t>
  </si>
  <si>
    <t>Honasa Consumer Ltd.</t>
  </si>
  <si>
    <t>HONASA</t>
  </si>
  <si>
    <t>Honeywell Automation India Ltd.</t>
  </si>
  <si>
    <t>HONAUT</t>
  </si>
  <si>
    <t>Housing &amp; Urban Development Corporation Ltd.</t>
  </si>
  <si>
    <t>HUDCO</t>
  </si>
  <si>
    <t>ICICI Bank Ltd.</t>
  </si>
  <si>
    <t>ICICIBANK</t>
  </si>
  <si>
    <t>ICICI Lombard General Insurance Company Ltd.</t>
  </si>
  <si>
    <t>ICICIGI</t>
  </si>
  <si>
    <t>ICICI Prudential Life Insurance Company Ltd.</t>
  </si>
  <si>
    <t>ICICIPRULI</t>
  </si>
  <si>
    <t>ICICI Securities Ltd.</t>
  </si>
  <si>
    <t>ISEC</t>
  </si>
  <si>
    <t>IDBI Bank Ltd.</t>
  </si>
  <si>
    <t>IDBI</t>
  </si>
  <si>
    <t>IDFC First Bank Ltd.</t>
  </si>
  <si>
    <t>IDFCFIRSTB</t>
  </si>
  <si>
    <t>IFCI Ltd.</t>
  </si>
  <si>
    <t>IFCI</t>
  </si>
  <si>
    <t>IIFL Finance Ltd.</t>
  </si>
  <si>
    <t>IIFL</t>
  </si>
  <si>
    <t>IRB Infrastructure Developers Ltd.</t>
  </si>
  <si>
    <t>IRB</t>
  </si>
  <si>
    <t>IRCON International Ltd.</t>
  </si>
  <si>
    <t>IRCON</t>
  </si>
  <si>
    <t>ITC Ltd.</t>
  </si>
  <si>
    <t>ITI Ltd.</t>
  </si>
  <si>
    <t>ITI</t>
  </si>
  <si>
    <t>India Cements Ltd.</t>
  </si>
  <si>
    <t>INDIACEM</t>
  </si>
  <si>
    <t>Indiamart Intermesh Ltd.</t>
  </si>
  <si>
    <t>INDIAMART</t>
  </si>
  <si>
    <t>Indian Bank</t>
  </si>
  <si>
    <t>INDIANB</t>
  </si>
  <si>
    <t>Indian Energy Exchange Ltd.</t>
  </si>
  <si>
    <t>IEX</t>
  </si>
  <si>
    <t>Indian Hotels Co. Ltd.</t>
  </si>
  <si>
    <t>INDHOTEL</t>
  </si>
  <si>
    <t>Indian Oil Corporation Ltd.</t>
  </si>
  <si>
    <t>Indian Overseas Bank</t>
  </si>
  <si>
    <t>IOB</t>
  </si>
  <si>
    <t>Indian Railway Catering And Tourism Corporation Ltd.</t>
  </si>
  <si>
    <t>IRCTC</t>
  </si>
  <si>
    <t>Indian Railway Finance Corporation Ltd.</t>
  </si>
  <si>
    <t>IRFC</t>
  </si>
  <si>
    <t>Indigo Paints Ltd.</t>
  </si>
  <si>
    <t>INDIGOPNTS</t>
  </si>
  <si>
    <t>Indraprastha Gas Ltd.</t>
  </si>
  <si>
    <t>IGL</t>
  </si>
  <si>
    <t>Indus Towers Ltd.</t>
  </si>
  <si>
    <t>INDUSTOWER</t>
  </si>
  <si>
    <t>IndusInd Bank Ltd.</t>
  </si>
  <si>
    <t>INDUSINDBK</t>
  </si>
  <si>
    <t>Info Edge (India) Ltd.</t>
  </si>
  <si>
    <t>NAUKRI</t>
  </si>
  <si>
    <t>Infosys Ltd.</t>
  </si>
  <si>
    <t>Inox Wind Ltd.</t>
  </si>
  <si>
    <t>INOXWIND</t>
  </si>
  <si>
    <t>Intellect Design Arena Ltd.</t>
  </si>
  <si>
    <t>INTELLECT</t>
  </si>
  <si>
    <t>InterGlobe Aviation Ltd.</t>
  </si>
  <si>
    <t>INDIGO</t>
  </si>
  <si>
    <t>Ipca Laboratories Ltd.</t>
  </si>
  <si>
    <t>IPCALAB</t>
  </si>
  <si>
    <t>J.B. Chemicals &amp; Pharmaceuticals Ltd.</t>
  </si>
  <si>
    <t>JBCHEPHARM</t>
  </si>
  <si>
    <t>J.K. Cement Ltd.</t>
  </si>
  <si>
    <t>JKCEMENT</t>
  </si>
  <si>
    <t>JBM Auto Ltd.</t>
  </si>
  <si>
    <t>JBMA</t>
  </si>
  <si>
    <t>JK Lakshmi Cement Ltd.</t>
  </si>
  <si>
    <t>JKLAKSHMI</t>
  </si>
  <si>
    <t>JK Paper Ltd.</t>
  </si>
  <si>
    <t>JKPAPER</t>
  </si>
  <si>
    <t>JM Financial Ltd.</t>
  </si>
  <si>
    <t>JMFINANCIL</t>
  </si>
  <si>
    <t>JSW Energy Ltd.</t>
  </si>
  <si>
    <t>JSWENERGY</t>
  </si>
  <si>
    <t>JSW Infrastructure Ltd.</t>
  </si>
  <si>
    <t>JSWINFRA</t>
  </si>
  <si>
    <t>JSW Steel Ltd.</t>
  </si>
  <si>
    <t>JSWSTEEL</t>
  </si>
  <si>
    <t>Jai Balaji Industries Ltd.</t>
  </si>
  <si>
    <t>JAIBALAJI</t>
  </si>
  <si>
    <t>Jammu &amp; Kashmir Bank Ltd.</t>
  </si>
  <si>
    <t>J&amp;KBANK</t>
  </si>
  <si>
    <t>Jindal Saw Ltd.</t>
  </si>
  <si>
    <t>JINDALSAW</t>
  </si>
  <si>
    <t>Jindal Stainless Ltd.</t>
  </si>
  <si>
    <t>JSL</t>
  </si>
  <si>
    <t>Jindal Steel &amp; Power Ltd.</t>
  </si>
  <si>
    <t>JINDALSTEL</t>
  </si>
  <si>
    <t>Jio Financial Services Ltd.</t>
  </si>
  <si>
    <t>JIOFIN</t>
  </si>
  <si>
    <t>Jubilant Foodworks Ltd.</t>
  </si>
  <si>
    <t>JUBLFOOD</t>
  </si>
  <si>
    <t>Jubilant Ingrevia Ltd.</t>
  </si>
  <si>
    <t>JUBLINGREA</t>
  </si>
  <si>
    <t>Jubilant Pharmova Ltd.</t>
  </si>
  <si>
    <t>JUBLPHARMA</t>
  </si>
  <si>
    <t>Jupiter Wagons Ltd.</t>
  </si>
  <si>
    <t>JWL</t>
  </si>
  <si>
    <t>Justdial Ltd.</t>
  </si>
  <si>
    <t>JUSTDIAL</t>
  </si>
  <si>
    <t>Jyothy Labs Ltd.</t>
  </si>
  <si>
    <t>JYOTHYLAB</t>
  </si>
  <si>
    <t>K.P.R. Mill Ltd.</t>
  </si>
  <si>
    <t>KPRMILL</t>
  </si>
  <si>
    <t>KEI Industries Ltd.</t>
  </si>
  <si>
    <t>KEI</t>
  </si>
  <si>
    <t>KNR Constructions Ltd.</t>
  </si>
  <si>
    <t>KNRCON</t>
  </si>
  <si>
    <t>KPIT Technologies Ltd.</t>
  </si>
  <si>
    <t>KPITTECH</t>
  </si>
  <si>
    <t>KRBL Ltd.</t>
  </si>
  <si>
    <t>KRBL</t>
  </si>
  <si>
    <t>KSB Ltd.</t>
  </si>
  <si>
    <t>KSB</t>
  </si>
  <si>
    <t>Kajaria Ceramics Ltd.</t>
  </si>
  <si>
    <t>KAJARIACER</t>
  </si>
  <si>
    <t>Kalpataru Projects International Ltd.</t>
  </si>
  <si>
    <t>KPIL</t>
  </si>
  <si>
    <t>Kalyan Jewellers India Ltd.</t>
  </si>
  <si>
    <t>KALYANKJIL</t>
  </si>
  <si>
    <t>Kansai Nerolac Paints Ltd.</t>
  </si>
  <si>
    <t>KANSAINER</t>
  </si>
  <si>
    <t>Karur Vysya Bank Ltd.</t>
  </si>
  <si>
    <t>KARURVYSYA</t>
  </si>
  <si>
    <t>Kaynes Technology India Ltd.</t>
  </si>
  <si>
    <t>KAYNES</t>
  </si>
  <si>
    <t>Kec International Ltd.</t>
  </si>
  <si>
    <t>KEC</t>
  </si>
  <si>
    <t>Kfin Technologies Ltd.</t>
  </si>
  <si>
    <t>KFINTECH</t>
  </si>
  <si>
    <t>Kotak Mahindra Bank Ltd.</t>
  </si>
  <si>
    <t>KOTAKBANK</t>
  </si>
  <si>
    <t>Krishna Institute of Medical Sciences Ltd.</t>
  </si>
  <si>
    <t>KIMS</t>
  </si>
  <si>
    <t>L&amp;T Finance Ltd.</t>
  </si>
  <si>
    <t>LTF</t>
  </si>
  <si>
    <t>L&amp;T Technology Services Ltd.</t>
  </si>
  <si>
    <t>LTTS</t>
  </si>
  <si>
    <t>LIC Housing Finance Ltd.</t>
  </si>
  <si>
    <t>LICHSGFIN</t>
  </si>
  <si>
    <t>LTIMindtree Ltd.</t>
  </si>
  <si>
    <t>LTIM</t>
  </si>
  <si>
    <t>Larsen &amp; Toubro Ltd.</t>
  </si>
  <si>
    <t>LT</t>
  </si>
  <si>
    <t>Latent View Analytics Ltd.</t>
  </si>
  <si>
    <t>LATENTVIEW</t>
  </si>
  <si>
    <t>Laurus Labs Ltd.</t>
  </si>
  <si>
    <t>LAURUSLABS</t>
  </si>
  <si>
    <t>Laxmi Organic Industries Ltd.</t>
  </si>
  <si>
    <t>LXCHEM</t>
  </si>
  <si>
    <t>Lemon Tree Hotels Ltd.</t>
  </si>
  <si>
    <t>LEMONTREE</t>
  </si>
  <si>
    <t>Life Insurance Corporation of India</t>
  </si>
  <si>
    <t>LICI</t>
  </si>
  <si>
    <t>Linde India Ltd.</t>
  </si>
  <si>
    <t>LINDEINDIA</t>
  </si>
  <si>
    <t>Lloyds Metals And Energy Ltd.</t>
  </si>
  <si>
    <t>LLOYDSME</t>
  </si>
  <si>
    <t>Lupin Ltd.</t>
  </si>
  <si>
    <t>LUPIN</t>
  </si>
  <si>
    <t>MMTC Ltd.</t>
  </si>
  <si>
    <t>MMTC</t>
  </si>
  <si>
    <t>MRF Ltd.</t>
  </si>
  <si>
    <t>MRF</t>
  </si>
  <si>
    <t>MTAR Technologies Ltd.</t>
  </si>
  <si>
    <t>MTARTECH</t>
  </si>
  <si>
    <t>Macrotech Developers Ltd.</t>
  </si>
  <si>
    <t>LODHA</t>
  </si>
  <si>
    <t>Mahanagar Gas Ltd.</t>
  </si>
  <si>
    <t>MGL</t>
  </si>
  <si>
    <t>Maharashtra Seamless Ltd.</t>
  </si>
  <si>
    <t>MAHSEAMLES</t>
  </si>
  <si>
    <t>Mahindra &amp; Mahindra Financial Services Ltd.</t>
  </si>
  <si>
    <t>M&amp;MFIN</t>
  </si>
  <si>
    <t>Mahindra &amp; Mahindra Ltd.</t>
  </si>
  <si>
    <t>Mahindra Holidays &amp; Resorts India Ltd.</t>
  </si>
  <si>
    <t>MHRIL</t>
  </si>
  <si>
    <t>Mahindra Lifespace Developers Ltd.</t>
  </si>
  <si>
    <t>MAHLIFE</t>
  </si>
  <si>
    <t>Manappuram Finance Ltd.</t>
  </si>
  <si>
    <t>MANAPPURAM</t>
  </si>
  <si>
    <t>Mangalore Refinery &amp; Petrochemicals Ltd.</t>
  </si>
  <si>
    <t>MRPL</t>
  </si>
  <si>
    <t>Mankind Pharma Ltd.</t>
  </si>
  <si>
    <t>MANKIND</t>
  </si>
  <si>
    <t>Marico Ltd.</t>
  </si>
  <si>
    <t>MARICO</t>
  </si>
  <si>
    <t>Maruti Suzuki India Ltd.</t>
  </si>
  <si>
    <t>MARUTI</t>
  </si>
  <si>
    <t>Mastek Ltd.</t>
  </si>
  <si>
    <t>MASTEK</t>
  </si>
  <si>
    <t>Max Financial Services Ltd.</t>
  </si>
  <si>
    <t>MFSL</t>
  </si>
  <si>
    <t>Max Healthcare Institute Ltd.</t>
  </si>
  <si>
    <t>MAXHEALTH</t>
  </si>
  <si>
    <t>Mazagoan Dock Shipbuilders Ltd.</t>
  </si>
  <si>
    <t>MAZDOCK</t>
  </si>
  <si>
    <t>Medplus Health Services Ltd.</t>
  </si>
  <si>
    <t>MEDPLUS</t>
  </si>
  <si>
    <t>Metro Brands Ltd.</t>
  </si>
  <si>
    <t>METROBRAND</t>
  </si>
  <si>
    <t>Metropolis Healthcare Ltd.</t>
  </si>
  <si>
    <t>METROPOLIS</t>
  </si>
  <si>
    <t>Minda Corporation Ltd.</t>
  </si>
  <si>
    <t>MINDACORP</t>
  </si>
  <si>
    <t>Motherson Sumi Wiring India Ltd.</t>
  </si>
  <si>
    <t>MSUMI</t>
  </si>
  <si>
    <t>Motilal Oswal Financial Services Ltd.</t>
  </si>
  <si>
    <t>MOTILALOFS</t>
  </si>
  <si>
    <t>MphasiS Ltd.</t>
  </si>
  <si>
    <t>MPHASIS</t>
  </si>
  <si>
    <t>Multi Commodity Exchange of India Ltd.</t>
  </si>
  <si>
    <t>MCX</t>
  </si>
  <si>
    <t>Muthoot Finance Ltd.</t>
  </si>
  <si>
    <t>MUTHOOTFIN</t>
  </si>
  <si>
    <t>NATCO Pharma Ltd.</t>
  </si>
  <si>
    <t>NATCOPHARM</t>
  </si>
  <si>
    <t>NBCC (India) Ltd.</t>
  </si>
  <si>
    <t>NBCC</t>
  </si>
  <si>
    <t>NCC Ltd.</t>
  </si>
  <si>
    <t>NCC</t>
  </si>
  <si>
    <t>NHPC Ltd.</t>
  </si>
  <si>
    <t>NHPC</t>
  </si>
  <si>
    <t>NLC India Ltd.</t>
  </si>
  <si>
    <t>NLCINDIA</t>
  </si>
  <si>
    <t>NMDC Ltd.</t>
  </si>
  <si>
    <t>NMDC</t>
  </si>
  <si>
    <t>NMDC Steel Ltd.</t>
  </si>
  <si>
    <t>NSLNISP</t>
  </si>
  <si>
    <t>NTPC Ltd.</t>
  </si>
  <si>
    <t>Narayana Hrudayalaya Ltd.</t>
  </si>
  <si>
    <t>NH</t>
  </si>
  <si>
    <t>National Aluminium Co. Ltd.</t>
  </si>
  <si>
    <t>NATIONALUM</t>
  </si>
  <si>
    <t>Navin Fluorine International Ltd.</t>
  </si>
  <si>
    <t>NAVINFLUOR</t>
  </si>
  <si>
    <t>Nestle India Ltd.</t>
  </si>
  <si>
    <t>NESTLEIND</t>
  </si>
  <si>
    <t>Network18 Media &amp; Investments Ltd.</t>
  </si>
  <si>
    <t>Media Entertainment &amp; Publication</t>
  </si>
  <si>
    <t>NETWORK18</t>
  </si>
  <si>
    <t>Nippon Life India Asset Management Ltd.</t>
  </si>
  <si>
    <t>NAM-INDIA</t>
  </si>
  <si>
    <t>Nuvama Wealth Management Ltd.</t>
  </si>
  <si>
    <t>NUVAMA</t>
  </si>
  <si>
    <t>Nuvoco Vistas Corporation Ltd.</t>
  </si>
  <si>
    <t>NUVOCO</t>
  </si>
  <si>
    <t>Oberoi Realty Ltd.</t>
  </si>
  <si>
    <t>OBEROIRLTY</t>
  </si>
  <si>
    <t>Oil &amp; Natural Gas Corporation Ltd.</t>
  </si>
  <si>
    <t>Oil India Ltd.</t>
  </si>
  <si>
    <t>OIL</t>
  </si>
  <si>
    <t>Olectra Greentech Ltd.</t>
  </si>
  <si>
    <t>OLECTRA</t>
  </si>
  <si>
    <t>One 97 Communications Ltd.</t>
  </si>
  <si>
    <t>PAYTM</t>
  </si>
  <si>
    <t>Oracle Financial Services Software Ltd.</t>
  </si>
  <si>
    <t>OFSS</t>
  </si>
  <si>
    <t>PB Fintech Ltd.</t>
  </si>
  <si>
    <t>POLICYBZR</t>
  </si>
  <si>
    <t>PCBL Ltd.</t>
  </si>
  <si>
    <t>PCBL</t>
  </si>
  <si>
    <t>PI Industries Ltd.</t>
  </si>
  <si>
    <t>PIIND</t>
  </si>
  <si>
    <t>PNB Housing Finance Ltd.</t>
  </si>
  <si>
    <t>PNBHOUSING</t>
  </si>
  <si>
    <t>PNC Infratech Ltd.</t>
  </si>
  <si>
    <t>PNCINFRA</t>
  </si>
  <si>
    <t>PVR INOX Ltd.</t>
  </si>
  <si>
    <t>PVRINOX</t>
  </si>
  <si>
    <t>Page Industries Ltd.</t>
  </si>
  <si>
    <t>PAGEIND</t>
  </si>
  <si>
    <t>Patanjali Foods Ltd.</t>
  </si>
  <si>
    <t>PATANJALI</t>
  </si>
  <si>
    <t>Persistent Systems Ltd.</t>
  </si>
  <si>
    <t>PERSISTENT</t>
  </si>
  <si>
    <t>Petronet LNG Ltd.</t>
  </si>
  <si>
    <t>PETRONET</t>
  </si>
  <si>
    <t>Phoenix Mills Ltd.</t>
  </si>
  <si>
    <t>PHOENIXLTD</t>
  </si>
  <si>
    <t>Pidilite Industries Ltd.</t>
  </si>
  <si>
    <t>PIDILITIND</t>
  </si>
  <si>
    <t>Piramal Enterprises Ltd.</t>
  </si>
  <si>
    <t>PEL</t>
  </si>
  <si>
    <t>Piramal Pharma Ltd.</t>
  </si>
  <si>
    <t>PPLPHARMA</t>
  </si>
  <si>
    <t>Poly Medicure Ltd.</t>
  </si>
  <si>
    <t>POLYMED</t>
  </si>
  <si>
    <t>Polycab India Ltd.</t>
  </si>
  <si>
    <t>POLYCAB</t>
  </si>
  <si>
    <t>Poonawalla Fincorp Ltd.</t>
  </si>
  <si>
    <t>POONAWALLA</t>
  </si>
  <si>
    <t>Power Finance Corporation Ltd.</t>
  </si>
  <si>
    <t>PFC</t>
  </si>
  <si>
    <t>Power Grid Corporation of India Ltd.</t>
  </si>
  <si>
    <t>POWERGRID</t>
  </si>
  <si>
    <t>Praj Industries Ltd.</t>
  </si>
  <si>
    <t>PRAJIND</t>
  </si>
  <si>
    <t>Prestige Estates Projects Ltd.</t>
  </si>
  <si>
    <t>PRESTIGE</t>
  </si>
  <si>
    <t>Prince Pipes and Fittings Ltd.</t>
  </si>
  <si>
    <t>PRINCEPIPE</t>
  </si>
  <si>
    <t>Prism Johnson Ltd.</t>
  </si>
  <si>
    <t>PRSMJOHNSN</t>
  </si>
  <si>
    <t>Procter &amp; Gamble Hygiene &amp; Health Care Ltd.</t>
  </si>
  <si>
    <t>PGHH</t>
  </si>
  <si>
    <t>Punjab National Bank</t>
  </si>
  <si>
    <t>PNB</t>
  </si>
  <si>
    <t>Quess Corp Ltd.</t>
  </si>
  <si>
    <t>QUESS</t>
  </si>
  <si>
    <t>R R Kabel Ltd.</t>
  </si>
  <si>
    <t>RRKABEL</t>
  </si>
  <si>
    <t>RBL Bank Ltd.</t>
  </si>
  <si>
    <t>RBLBANK</t>
  </si>
  <si>
    <t>REC Ltd.</t>
  </si>
  <si>
    <t>RECLTD</t>
  </si>
  <si>
    <t>RHI MAGNESITA INDIA LTD.</t>
  </si>
  <si>
    <t>RHIM</t>
  </si>
  <si>
    <t>RITES Ltd.</t>
  </si>
  <si>
    <t>RITES</t>
  </si>
  <si>
    <t>Radico Khaitan Ltd</t>
  </si>
  <si>
    <t>RADICO</t>
  </si>
  <si>
    <t>Rail Vikas Nigam Ltd.</t>
  </si>
  <si>
    <t>RVNL</t>
  </si>
  <si>
    <t>Railtel Corporation Of India Ltd.</t>
  </si>
  <si>
    <t>RAILTEL</t>
  </si>
  <si>
    <t>Rainbow Childrens Medicare Ltd.</t>
  </si>
  <si>
    <t>RAINBOW</t>
  </si>
  <si>
    <t>Rajesh Exports Ltd.</t>
  </si>
  <si>
    <t>RAJESHEXPO</t>
  </si>
  <si>
    <t>Ramkrishna Forgings Ltd.</t>
  </si>
  <si>
    <t>RKFORGE</t>
  </si>
  <si>
    <t>Rashtriya Chemicals &amp; Fertilizers Ltd.</t>
  </si>
  <si>
    <t>RCF</t>
  </si>
  <si>
    <t>Ratnamani Metals &amp; Tubes Ltd.</t>
  </si>
  <si>
    <t>RATNAMANI</t>
  </si>
  <si>
    <t>RattanIndia Enterprises Ltd.</t>
  </si>
  <si>
    <t>RTNINDIA</t>
  </si>
  <si>
    <t>Raymond Ltd.</t>
  </si>
  <si>
    <t>RAYMOND</t>
  </si>
  <si>
    <t>Redington Ltd.</t>
  </si>
  <si>
    <t>REDINGTON</t>
  </si>
  <si>
    <t>Reliance Industries Ltd.</t>
  </si>
  <si>
    <t>RELIANCE</t>
  </si>
  <si>
    <t>Restaurant Brands Asia Ltd.</t>
  </si>
  <si>
    <t>RBA</t>
  </si>
  <si>
    <t>Route Mobile Ltd.</t>
  </si>
  <si>
    <t>ROUTE</t>
  </si>
  <si>
    <t>SBFC Finance Ltd.</t>
  </si>
  <si>
    <t>SBFC</t>
  </si>
  <si>
    <t>SBI Cards and Payment Services Ltd.</t>
  </si>
  <si>
    <t>SBICARD</t>
  </si>
  <si>
    <t>SBI Life Insurance Company Ltd.</t>
  </si>
  <si>
    <t>SBILIFE</t>
  </si>
  <si>
    <t>SJVN Ltd.</t>
  </si>
  <si>
    <t>SJVN</t>
  </si>
  <si>
    <t>SKF India Ltd.</t>
  </si>
  <si>
    <t>SKFINDIA</t>
  </si>
  <si>
    <t>SRF Ltd.</t>
  </si>
  <si>
    <t>SRF</t>
  </si>
  <si>
    <t>Safari Industries (India) Ltd.</t>
  </si>
  <si>
    <t>SAFARI</t>
  </si>
  <si>
    <t>Sammaan Capital Ltd.</t>
  </si>
  <si>
    <t>SAMMAANCAP</t>
  </si>
  <si>
    <t>Samvardhana Motherson International Ltd.</t>
  </si>
  <si>
    <t>MOTHERSON</t>
  </si>
  <si>
    <t>Sanofi India Ltd.</t>
  </si>
  <si>
    <t>SANOFI</t>
  </si>
  <si>
    <t>Sapphire Foods India Ltd.</t>
  </si>
  <si>
    <t>SAPPHIRE</t>
  </si>
  <si>
    <t>Saregama India Ltd</t>
  </si>
  <si>
    <t>SAREGAMA</t>
  </si>
  <si>
    <t>Schaeffler India Ltd.</t>
  </si>
  <si>
    <t>SCHAEFFLER</t>
  </si>
  <si>
    <t>Schneider Electric Infrastructure Ltd.</t>
  </si>
  <si>
    <t>SCHNEIDER</t>
  </si>
  <si>
    <t>Shree Cement Ltd.</t>
  </si>
  <si>
    <t>SHREECEM</t>
  </si>
  <si>
    <t>Shree Renuka Sugars Ltd.</t>
  </si>
  <si>
    <t>RENUKA</t>
  </si>
  <si>
    <t>Shriram Finance Ltd.</t>
  </si>
  <si>
    <t>SHRIRAMFIN</t>
  </si>
  <si>
    <t>Shyam Metalics and Energy Ltd.</t>
  </si>
  <si>
    <t>SHYAMMETL</t>
  </si>
  <si>
    <t>Siemens Ltd.</t>
  </si>
  <si>
    <t>SIEMENS</t>
  </si>
  <si>
    <t>Signatureglobal (India) Ltd.</t>
  </si>
  <si>
    <t>SIGNATURE</t>
  </si>
  <si>
    <t>Sobha Ltd.</t>
  </si>
  <si>
    <t>SOBHA</t>
  </si>
  <si>
    <t>Solar Industries India Ltd.</t>
  </si>
  <si>
    <t>SOLARINDS</t>
  </si>
  <si>
    <t>Sona BLW Precision Forgings Ltd.</t>
  </si>
  <si>
    <t>SONACOMS</t>
  </si>
  <si>
    <t>Sonata Software Ltd.</t>
  </si>
  <si>
    <t>SONATSOFTW</t>
  </si>
  <si>
    <t>Star Health and Allied Insurance Company Ltd.</t>
  </si>
  <si>
    <t>STARHEALTH</t>
  </si>
  <si>
    <t>State Bank of India</t>
  </si>
  <si>
    <t>SBIN</t>
  </si>
  <si>
    <t>Steel Authority of India Ltd.</t>
  </si>
  <si>
    <t>SAIL</t>
  </si>
  <si>
    <t>Sterling and Wilson Renewable Energy Ltd.</t>
  </si>
  <si>
    <t>SWSOLAR</t>
  </si>
  <si>
    <t>Sterlite Technologies Ltd.</t>
  </si>
  <si>
    <t>STLTECH</t>
  </si>
  <si>
    <t>Sumitomo Chemical India Ltd.</t>
  </si>
  <si>
    <t>SUMICHEM</t>
  </si>
  <si>
    <t>Sun Pharma Advanced Research Company Ltd.</t>
  </si>
  <si>
    <t>SPARC</t>
  </si>
  <si>
    <t>Sun Pharmaceutical Industries Ltd.</t>
  </si>
  <si>
    <t>SUNPHARMA</t>
  </si>
  <si>
    <t>Sun TV Network Ltd.</t>
  </si>
  <si>
    <t>SUNTV</t>
  </si>
  <si>
    <t>Sundaram Finance Ltd.</t>
  </si>
  <si>
    <t>SUNDARMFIN</t>
  </si>
  <si>
    <t>Sundram Fasteners Ltd.</t>
  </si>
  <si>
    <t>SUNDRMFAST</t>
  </si>
  <si>
    <t>Sunteck Realty Ltd.</t>
  </si>
  <si>
    <t>SUNTECK</t>
  </si>
  <si>
    <t>Supreme Industries Ltd.</t>
  </si>
  <si>
    <t>SUPREMEIND</t>
  </si>
  <si>
    <t>Suven Pharmaceuticals Ltd.</t>
  </si>
  <si>
    <t>SUVENPHAR</t>
  </si>
  <si>
    <t>Suzlon Energy Ltd.</t>
  </si>
  <si>
    <t>SUZLON</t>
  </si>
  <si>
    <t>Swan Energy Ltd.</t>
  </si>
  <si>
    <t>SWANENERGY</t>
  </si>
  <si>
    <t>Syngene International Ltd.</t>
  </si>
  <si>
    <t>SYNGENE</t>
  </si>
  <si>
    <t>Syrma SGS Technology Ltd.</t>
  </si>
  <si>
    <t>SYRMA</t>
  </si>
  <si>
    <t>TBO Tek Ltd.</t>
  </si>
  <si>
    <t>TBOTEK</t>
  </si>
  <si>
    <t>TVS Motor Company Ltd.</t>
  </si>
  <si>
    <t>TVSMOTOR</t>
  </si>
  <si>
    <t>TVS Supply Chain Solutions Ltd.</t>
  </si>
  <si>
    <t>TVSSCS</t>
  </si>
  <si>
    <t>Tamilnad Mercantile Bank Ltd.</t>
  </si>
  <si>
    <t>TMB</t>
  </si>
  <si>
    <t>Tanla Platforms Ltd.</t>
  </si>
  <si>
    <t>TANLA</t>
  </si>
  <si>
    <t>Tata Chemicals Ltd.</t>
  </si>
  <si>
    <t>TATACHEM</t>
  </si>
  <si>
    <t>Tata Communications Ltd.</t>
  </si>
  <si>
    <t>TATACOMM</t>
  </si>
  <si>
    <t>Tata Consumer Products Ltd.</t>
  </si>
  <si>
    <t>TATACONSUM</t>
  </si>
  <si>
    <t>Tata Elxsi Ltd.</t>
  </si>
  <si>
    <t>TATAELXSI</t>
  </si>
  <si>
    <t>Tata Investment Corporation Ltd.</t>
  </si>
  <si>
    <t>TATAINVEST</t>
  </si>
  <si>
    <t>Tata Motors Ltd.</t>
  </si>
  <si>
    <t>TATAMOTORS</t>
  </si>
  <si>
    <t>Tata Power Co. Ltd.</t>
  </si>
  <si>
    <t>TATAPOWER</t>
  </si>
  <si>
    <t>Tata Steel Ltd.</t>
  </si>
  <si>
    <t>TATASTEEL</t>
  </si>
  <si>
    <t>Tata Technologies Ltd.</t>
  </si>
  <si>
    <t>TATATECH</t>
  </si>
  <si>
    <t>Tata Teleservices (Maharashtra) Ltd.</t>
  </si>
  <si>
    <t>TTML</t>
  </si>
  <si>
    <t>Tech Mahindra Ltd.</t>
  </si>
  <si>
    <t>TECHM</t>
  </si>
  <si>
    <t>Tejas Networks Ltd.</t>
  </si>
  <si>
    <t>TEJASNET</t>
  </si>
  <si>
    <t>The New India Assurance Company Ltd.</t>
  </si>
  <si>
    <t>NIACL</t>
  </si>
  <si>
    <t>The Ramco Cements Ltd.</t>
  </si>
  <si>
    <t>RAMCOCEM</t>
  </si>
  <si>
    <t>Thermax Ltd.</t>
  </si>
  <si>
    <t>THERMAX</t>
  </si>
  <si>
    <t>Timken India Ltd.</t>
  </si>
  <si>
    <t>TIMKEN</t>
  </si>
  <si>
    <t>Titagarh Rail Systems Ltd.</t>
  </si>
  <si>
    <t>TITAGARH</t>
  </si>
  <si>
    <t>Titan Company Ltd.</t>
  </si>
  <si>
    <t>Torrent Pharmaceuticals Ltd.</t>
  </si>
  <si>
    <t>TORNTPHARM</t>
  </si>
  <si>
    <t>Torrent Power Ltd.</t>
  </si>
  <si>
    <t>TORNTPOWER</t>
  </si>
  <si>
    <t>Trent Ltd.</t>
  </si>
  <si>
    <t>TRENT</t>
  </si>
  <si>
    <t>Trident Ltd.</t>
  </si>
  <si>
    <t>TRIDENT</t>
  </si>
  <si>
    <t>Triveni Engineering &amp; Industries Ltd.</t>
  </si>
  <si>
    <t>TRIVENI</t>
  </si>
  <si>
    <t>Triveni Turbine Ltd.</t>
  </si>
  <si>
    <t>TRITURBINE</t>
  </si>
  <si>
    <t>Tube Investments of India Ltd.</t>
  </si>
  <si>
    <t>TIINDIA</t>
  </si>
  <si>
    <t>UCO Bank</t>
  </si>
  <si>
    <t>UCOBANK</t>
  </si>
  <si>
    <t>UNO Minda Ltd.</t>
  </si>
  <si>
    <t>UNOMINDA</t>
  </si>
  <si>
    <t>UPL Ltd.</t>
  </si>
  <si>
    <t>UTI Asset Management Company Ltd.</t>
  </si>
  <si>
    <t>UTIAMC</t>
  </si>
  <si>
    <t>Ujjivan Small Finance Bank Ltd.</t>
  </si>
  <si>
    <t>UJJIVANSFB</t>
  </si>
  <si>
    <t>UltraTech Cement Ltd.</t>
  </si>
  <si>
    <t>ULTRACEMCO</t>
  </si>
  <si>
    <t>Union Bank of India</t>
  </si>
  <si>
    <t>UNIONBANK</t>
  </si>
  <si>
    <t>United Breweries Ltd.</t>
  </si>
  <si>
    <t>UBL</t>
  </si>
  <si>
    <t>United Spirits Ltd.</t>
  </si>
  <si>
    <t>UNITDSPR</t>
  </si>
  <si>
    <t>Usha Martin Ltd.</t>
  </si>
  <si>
    <t>USHAMART</t>
  </si>
  <si>
    <t>V-Guard Industries Ltd.</t>
  </si>
  <si>
    <t>VGUARD</t>
  </si>
  <si>
    <t>V.I.P. Industries Ltd.</t>
  </si>
  <si>
    <t>VIPIND</t>
  </si>
  <si>
    <t>Vaibhav Global Ltd.</t>
  </si>
  <si>
    <t>VAIBHAVGBL</t>
  </si>
  <si>
    <t>Vardhman Textiles Ltd.</t>
  </si>
  <si>
    <t>VTL</t>
  </si>
  <si>
    <t>Varroc Engineering Ltd.</t>
  </si>
  <si>
    <t>VARROC</t>
  </si>
  <si>
    <t>Varun Beverages Ltd.</t>
  </si>
  <si>
    <t>VBL</t>
  </si>
  <si>
    <t>Vedant Fashions Ltd.</t>
  </si>
  <si>
    <t>MANYAVAR</t>
  </si>
  <si>
    <t>Vedanta Ltd.</t>
  </si>
  <si>
    <t>VEDL</t>
  </si>
  <si>
    <t>Vijaya Diagnostic Centre Ltd.</t>
  </si>
  <si>
    <t>VIJAYA</t>
  </si>
  <si>
    <t>Vodafone Idea Ltd.</t>
  </si>
  <si>
    <t>IDEA</t>
  </si>
  <si>
    <t>Voltas Ltd.</t>
  </si>
  <si>
    <t>VOLTAS</t>
  </si>
  <si>
    <t>Welspun Corp Ltd.</t>
  </si>
  <si>
    <t>WELCORP</t>
  </si>
  <si>
    <t>Welspun Living Ltd.</t>
  </si>
  <si>
    <t>WELSPUNLIV</t>
  </si>
  <si>
    <t>Westlife Foodworld Ltd.</t>
  </si>
  <si>
    <t>WESTLIFE</t>
  </si>
  <si>
    <t>Whirlpool of India Ltd.</t>
  </si>
  <si>
    <t>WHIRLPOOL</t>
  </si>
  <si>
    <t>Wipro Ltd.</t>
  </si>
  <si>
    <t>Yes Bank Ltd.</t>
  </si>
  <si>
    <t>YESBANK</t>
  </si>
  <si>
    <t>ZF Commercial Vehicle Control Systems India Ltd.</t>
  </si>
  <si>
    <t>ZFCVINDIA</t>
  </si>
  <si>
    <t>Zee Entertainment Enterprises Ltd.</t>
  </si>
  <si>
    <t>ZEEL</t>
  </si>
  <si>
    <t>Zensar Technologies Ltd.</t>
  </si>
  <si>
    <t>ZENSARTECH</t>
  </si>
  <si>
    <t>Zomato Ltd.</t>
  </si>
  <si>
    <t>ZOMATO</t>
  </si>
  <si>
    <t>Zydus Lifesciences Ltd.</t>
  </si>
  <si>
    <t>ZYDUSLIFE</t>
  </si>
  <si>
    <t>eClerx Services Ltd.</t>
  </si>
  <si>
    <t>ECLERX</t>
  </si>
  <si>
    <t>Jio finance</t>
  </si>
  <si>
    <t> 2214067</t>
  </si>
  <si>
    <t>zelle</t>
  </si>
  <si>
    <t>zelle SY</t>
  </si>
  <si>
    <t>Amex HYSA</t>
  </si>
  <si>
    <t>Alekhya - 75k</t>
  </si>
  <si>
    <t>Mar'25</t>
  </si>
  <si>
    <t>zelle vikas</t>
  </si>
  <si>
    <t>Furniture</t>
  </si>
  <si>
    <t>1,10,00,000</t>
  </si>
  <si>
    <t>ATM cash</t>
  </si>
  <si>
    <t>May-Sep</t>
  </si>
  <si>
    <t>India Trip-India costs</t>
  </si>
  <si>
    <t>India expenses</t>
  </si>
  <si>
    <t>India Trip-USA costs</t>
  </si>
  <si>
    <t>flight tickets</t>
  </si>
  <si>
    <t>Indian Function Expenses</t>
  </si>
  <si>
    <t>12,00,000</t>
  </si>
  <si>
    <t>India Trip - April'19</t>
  </si>
  <si>
    <t>India Trip - May-Sep24(1$-80 R)</t>
  </si>
  <si>
    <t>(as of 05/31/2025)</t>
  </si>
  <si>
    <t>401K</t>
  </si>
  <si>
    <t>USA Stocks(Apr 2023 - current)</t>
  </si>
  <si>
    <t>Cloud</t>
  </si>
  <si>
    <t>AI</t>
  </si>
  <si>
    <t>CyberSecurity</t>
  </si>
  <si>
    <t>FinTech</t>
  </si>
  <si>
    <t>TSMC</t>
  </si>
  <si>
    <t>SAAS</t>
  </si>
  <si>
    <t>XYZ</t>
  </si>
  <si>
    <t>ADS</t>
  </si>
  <si>
    <t>NU</t>
  </si>
  <si>
    <t>ZS</t>
  </si>
  <si>
    <t>PANW</t>
  </si>
  <si>
    <t>ADYEY</t>
  </si>
  <si>
    <t>after 30% tax cut</t>
  </si>
  <si>
    <t>Tata Motors</t>
  </si>
  <si>
    <t>3 A/C</t>
  </si>
  <si>
    <t>Sector</t>
  </si>
  <si>
    <t>ABB India</t>
  </si>
  <si>
    <t>Adani Energy Solutions</t>
  </si>
  <si>
    <t>Adani Green Energy</t>
  </si>
  <si>
    <t>Adani Power</t>
  </si>
  <si>
    <t>Ambuja Cements</t>
  </si>
  <si>
    <t>Bajaj Holdings</t>
  </si>
  <si>
    <t>Bajaj Housing Finance</t>
  </si>
  <si>
    <t>BAJAJHFL</t>
  </si>
  <si>
    <t>Bharat Petroleum</t>
  </si>
  <si>
    <t>Oil, Gas &amp; Consumable Fuels</t>
  </si>
  <si>
    <t>Britannia Industries</t>
  </si>
  <si>
    <t>Bosch</t>
  </si>
  <si>
    <t>CG Power and Industrial Solutions</t>
  </si>
  <si>
    <t>Dabur</t>
  </si>
  <si>
    <t>Divi's Laboratories</t>
  </si>
  <si>
    <t>DMart</t>
  </si>
  <si>
    <t>Godrej Consumer Products</t>
  </si>
  <si>
    <t>Hindustan Aeronautics</t>
  </si>
  <si>
    <t>Hyundai Motor India</t>
  </si>
  <si>
    <t>HYUNDAI</t>
  </si>
  <si>
    <t>ICICI Lombard General Insurance</t>
  </si>
  <si>
    <t>ICICI Prudential Life Insurance</t>
  </si>
  <si>
    <t>Indian Hotels Company</t>
  </si>
  <si>
    <t>Indian Oil Corporation</t>
  </si>
  <si>
    <t>IndiGo</t>
  </si>
  <si>
    <t>Info Edge</t>
  </si>
  <si>
    <t>Jindal Steel &amp; Power</t>
  </si>
  <si>
    <t>JSW Energy</t>
  </si>
  <si>
    <t>Life Insurance Corporation</t>
  </si>
  <si>
    <t>Lodha</t>
  </si>
  <si>
    <t>LTIMindtree</t>
  </si>
  <si>
    <t>Pidilite Industries</t>
  </si>
  <si>
    <t>Power Finance Corporation</t>
  </si>
  <si>
    <t>REC</t>
  </si>
  <si>
    <t>Samvardhana Motherson</t>
  </si>
  <si>
    <t>Shree Cement</t>
  </si>
  <si>
    <t>Siemens</t>
  </si>
  <si>
    <t>Swiggy</t>
  </si>
  <si>
    <t>SWIGGY</t>
  </si>
  <si>
    <t>Torrent Pharmaceuticals</t>
  </si>
  <si>
    <t>TVS Motor Company</t>
  </si>
  <si>
    <t>United Spirits</t>
  </si>
  <si>
    <t>Varun Beverages</t>
  </si>
  <si>
    <t>Vedanta</t>
  </si>
  <si>
    <t>Zydus Lifesciences</t>
  </si>
  <si>
    <t>Nifty Next 50</t>
  </si>
  <si>
    <t>zydus</t>
  </si>
  <si>
    <t>Surya - 45k</t>
  </si>
  <si>
    <t>Surya-30K</t>
  </si>
  <si>
    <t>2,50,00,000</t>
  </si>
  <si>
    <t>$ = 72 INR</t>
  </si>
  <si>
    <t>Groceries</t>
  </si>
  <si>
    <t xml:space="preserve">Utilities </t>
  </si>
  <si>
    <t>Dining out</t>
  </si>
  <si>
    <t>Functions</t>
  </si>
  <si>
    <t>Maid</t>
  </si>
  <si>
    <t>Repairs</t>
  </si>
  <si>
    <t>CAGR</t>
  </si>
  <si>
    <t>e-commerce</t>
  </si>
  <si>
    <t>CarEMI</t>
  </si>
  <si>
    <t>Kids School</t>
  </si>
  <si>
    <t>Shopping</t>
  </si>
  <si>
    <t>2,00,000</t>
  </si>
  <si>
    <t>Bike/Car Maintenance</t>
  </si>
  <si>
    <t>Monthly breakuo</t>
  </si>
  <si>
    <t>15,00,000</t>
  </si>
  <si>
    <t>Apartment maintenance</t>
  </si>
  <si>
    <t>401k loan</t>
  </si>
  <si>
    <t>DCU loan</t>
  </si>
  <si>
    <t>Remit2Any</t>
  </si>
  <si>
    <t>chase preferred</t>
  </si>
  <si>
    <t>high-end</t>
  </si>
  <si>
    <t>low-end</t>
  </si>
  <si>
    <t>10637</t>
  </si>
  <si>
    <t>After Tax</t>
  </si>
  <si>
    <t>9041</t>
  </si>
  <si>
    <t>439398</t>
  </si>
  <si>
    <t>Atlanta Trip</t>
  </si>
  <si>
    <t>5 plots</t>
  </si>
  <si>
    <t>BVRM Flat</t>
  </si>
  <si>
    <t>Theju FD</t>
  </si>
  <si>
    <t>Krithiksha Gold</t>
  </si>
  <si>
    <t>90000+160000</t>
  </si>
  <si>
    <t>India Stocks</t>
  </si>
  <si>
    <t>USA stocks</t>
  </si>
  <si>
    <t>Theju India Earnings 2014-2025</t>
  </si>
  <si>
    <t>Theju USA Earnings 2014-2025</t>
  </si>
  <si>
    <t>401k</t>
  </si>
  <si>
    <t>Savings account</t>
  </si>
  <si>
    <t>Theju Marriage+Functions</t>
  </si>
  <si>
    <t>348600*85</t>
  </si>
  <si>
    <t>Insurance</t>
  </si>
  <si>
    <t>Zelle sandeep</t>
  </si>
  <si>
    <t>Aurobindo</t>
  </si>
  <si>
    <t>Lupin</t>
  </si>
  <si>
    <t>Hindalco</t>
  </si>
  <si>
    <t>JSW Steel</t>
  </si>
  <si>
    <t>JSW Infrastructure</t>
  </si>
  <si>
    <t>Mahindra Mahindra</t>
  </si>
  <si>
    <t>Adani Green</t>
  </si>
  <si>
    <t>NTPC Green</t>
  </si>
  <si>
    <t>KPI Green</t>
  </si>
  <si>
    <t>Suzlon</t>
  </si>
  <si>
    <t>Auto</t>
  </si>
  <si>
    <t>LTIMind Tree</t>
  </si>
  <si>
    <t>Coforge</t>
  </si>
  <si>
    <t>Persisitent</t>
  </si>
  <si>
    <t>Happiest Minds</t>
  </si>
  <si>
    <t>Biocon</t>
  </si>
  <si>
    <t>Apollo</t>
  </si>
  <si>
    <t>ASML</t>
  </si>
  <si>
    <t>AVGO</t>
  </si>
  <si>
    <t>ARM</t>
  </si>
  <si>
    <t>SNOW</t>
  </si>
  <si>
    <t>NOW</t>
  </si>
  <si>
    <t>FNET</t>
  </si>
  <si>
    <t>S</t>
  </si>
  <si>
    <t>OKTA</t>
  </si>
  <si>
    <t>Alekhya-600000,Surya-83000</t>
  </si>
  <si>
    <t>Chaitanya credit</t>
  </si>
  <si>
    <t xml:space="preserve">Repairs </t>
  </si>
  <si>
    <t>cleaning</t>
  </si>
  <si>
    <t>Painting</t>
  </si>
  <si>
    <t>chimney</t>
  </si>
  <si>
    <t>Ripple</t>
  </si>
  <si>
    <t>3rd A/C</t>
  </si>
  <si>
    <t>33490+2000</t>
  </si>
  <si>
    <t>600+780</t>
  </si>
  <si>
    <t>A/C credit by Tenants</t>
  </si>
  <si>
    <t>AMAT</t>
  </si>
  <si>
    <t>STNE</t>
  </si>
  <si>
    <t>EV</t>
  </si>
  <si>
    <t>TSLA</t>
  </si>
  <si>
    <t>ENPH</t>
  </si>
  <si>
    <t>BYD</t>
  </si>
  <si>
    <t>RIVN</t>
  </si>
  <si>
    <t>PLUG</t>
  </si>
  <si>
    <t>BABA</t>
  </si>
  <si>
    <t>PDD</t>
  </si>
  <si>
    <t>BIOTECH</t>
  </si>
  <si>
    <t>MRNA</t>
  </si>
  <si>
    <t>ISRG</t>
  </si>
  <si>
    <t>TDOC</t>
  </si>
  <si>
    <t>CRISPR</t>
  </si>
  <si>
    <t>ILMN</t>
  </si>
  <si>
    <t>SMCI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</si>
  <si>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</si>
  <si>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</si>
  <si>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</si>
  <si>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</si>
  <si>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</si>
  <si>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</si>
  <si>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</si>
  <si>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</si>
  <si>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</si>
  <si>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</si>
  <si>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Non-EMI</t>
  </si>
  <si>
    <t>EMI paid(2020-current)</t>
  </si>
  <si>
    <t>EMI paid till date</t>
  </si>
  <si>
    <t>GOOGLE</t>
  </si>
  <si>
    <t>Stable - 25000$</t>
  </si>
  <si>
    <t>Multi - 10000$</t>
  </si>
  <si>
    <t>Medium - 15000$</t>
  </si>
  <si>
    <t>FTNT</t>
  </si>
  <si>
    <t>AFRM</t>
  </si>
  <si>
    <t>SOFI</t>
  </si>
  <si>
    <t>INTL</t>
  </si>
  <si>
    <t>LRCX</t>
  </si>
  <si>
    <t>Funds</t>
  </si>
  <si>
    <t>HDFC Flexi cap</t>
  </si>
  <si>
    <t>HDFC Mid cap</t>
  </si>
  <si>
    <t>Quant small cap</t>
  </si>
  <si>
    <t>Bandhan small cap</t>
  </si>
  <si>
    <t>UTI Nifty 50 Index</t>
  </si>
  <si>
    <t>Retruns</t>
  </si>
  <si>
    <t>&gt;10%</t>
  </si>
  <si>
    <t>parag parge fliexi</t>
  </si>
  <si>
    <t>HDFC balanced advantage</t>
  </si>
  <si>
    <t>ICICI prudential equity &amp; debt</t>
  </si>
  <si>
    <t>&gt;9%</t>
  </si>
  <si>
    <t>ICICI prudential Large cap</t>
  </si>
  <si>
    <t>2025 claims</t>
  </si>
  <si>
    <t>Leann</t>
  </si>
  <si>
    <t>personal</t>
  </si>
  <si>
    <t>HDFC portal</t>
  </si>
  <si>
    <t>Principal amount recovered </t>
  </si>
  <si>
    <t>Interest amount recovered </t>
  </si>
  <si>
    <t>balance</t>
  </si>
  <si>
    <t>54,746 * 48</t>
  </si>
  <si>
    <t>Online Payment History</t>
  </si>
  <si>
    <t>1401094+1201250+683286</t>
  </si>
  <si>
    <t>Extra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</si>
</sst>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96">
    <font>
      <sz val="11"/>
      <color rgb="FF000000"/>
      <name val="Calibri"/>
      <family val="2"/>
      <charset val="1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4"/>
      <color rgb="FF000000"/>
      <name val="Calibri"/>
      <family val="2"/>
      <charset val="1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charset val="1"/>
    </font>
    <font>
      <b/>
      <sz val="14"/>
      <color rgb="FF00B05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1"/>
      <color theme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333333"/>
      <name val="Verdana"/>
      <family val="2"/>
    </font>
    <font>
      <sz val="12"/>
      <color rgb="FF454545"/>
      <name val="Helvetica Neue"/>
      <family val="2"/>
    </font>
    <font>
      <b/>
      <sz val="12"/>
      <color theme="5" tint="-0.249977111117893"/>
      <name val="Helvetica Neue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sz val="14"/>
      <color rgb="FF000000"/>
      <name val="Calibri"/>
      <family val="2"/>
      <charset val="1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1"/>
      <color rgb="FFFF0000"/>
      <name val="Calibri (Body)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sz val="13"/>
      <color rgb="FF6B5E51"/>
      <name val="Arial"/>
      <family val="2"/>
    </font>
    <font>
      <sz val="14"/>
      <color rgb="FF414042"/>
      <name val="Helvetica Neue"/>
      <family val="2"/>
    </font>
    <font>
      <sz val="8"/>
      <name val="Calibri"/>
      <family val="2"/>
      <charset val="1"/>
    </font>
    <font>
      <sz val="14"/>
      <color rgb="FF667980"/>
      <name val="Calibri"/>
      <family val="2"/>
    </font>
    <font>
      <sz val="14"/>
      <color theme="1"/>
      <name val="Calibri"/>
      <family val="2"/>
    </font>
    <font>
      <sz val="14"/>
      <color rgb="FF002060"/>
      <name val="Roboto-regular"/>
    </font>
    <font>
      <sz val="14"/>
      <color rgb="FF053C6D"/>
      <name val="Arial"/>
      <family val="2"/>
    </font>
    <font>
      <sz val="14"/>
      <color rgb="FF534C62"/>
      <name val="Arial"/>
      <family val="2"/>
    </font>
    <font>
      <sz val="14"/>
      <color rgb="FF333333"/>
      <name val="Verdana"/>
      <family val="2"/>
    </font>
    <font>
      <sz val="14"/>
      <color rgb="FF454545"/>
      <name val="Helvetica Neue"/>
      <family val="2"/>
    </font>
    <font>
      <sz val="14"/>
      <color rgb="FF171717"/>
      <name val="Roboto"/>
    </font>
    <font>
      <sz val="12"/>
      <color rgb="FF000000"/>
      <name val="Calibri (Body)"/>
    </font>
    <font>
      <b/>
      <sz val="12"/>
      <color rgb="FF000000"/>
      <name val="Calibri (Body)"/>
    </font>
    <font>
      <sz val="12"/>
      <color rgb="FFFF0000"/>
      <name val="Calibri (Body)"/>
    </font>
    <font>
      <sz val="10"/>
      <color rgb="FF000000"/>
      <name val="SansSerif"/>
    </font>
    <font>
      <sz val="10"/>
      <color indexed="72"/>
      <name val="SansSerif"/>
    </font>
    <font>
      <sz val="18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rgb="FF000000"/>
      <name val="Calibri (Body)"/>
    </font>
    <font>
      <b/>
      <sz val="16"/>
      <color rgb="FF000000"/>
      <name val="Calibri (Body)"/>
    </font>
    <font>
      <sz val="14"/>
      <color rgb="FF000000"/>
      <name val="Helvetica"/>
      <family val="2"/>
    </font>
    <font>
      <b/>
      <i/>
      <sz val="20"/>
      <color rgb="FF000000"/>
      <name val="Calibri"/>
      <family val="2"/>
    </font>
    <font>
      <sz val="12"/>
      <color rgb="FF00B050"/>
      <name val="Calibri"/>
      <family val="2"/>
      <scheme val="minor"/>
    </font>
    <font>
      <sz val="14"/>
      <color rgb="FF000000"/>
      <name val="Calibri (Body)"/>
    </font>
    <font>
      <sz val="16"/>
      <color rgb="FF000000"/>
      <name val="Calibri"/>
      <family val="2"/>
    </font>
    <font>
      <sz val="16"/>
      <color rgb="FF002060"/>
      <name val="Calibri"/>
      <family val="2"/>
    </font>
    <font>
      <b/>
      <sz val="18"/>
      <color rgb="FF000000"/>
      <name val="Calibri"/>
      <family val="2"/>
    </font>
    <font>
      <sz val="18"/>
      <color rgb="FF000000"/>
      <name val="Calibri"/>
      <family val="2"/>
      <charset val="1"/>
    </font>
    <font>
      <sz val="18"/>
      <color rgb="FF000000"/>
      <name val="Helvetica Neue"/>
      <family val="2"/>
    </font>
    <font>
      <b/>
      <i/>
      <sz val="16"/>
      <color theme="3" tint="-0.249977111117893"/>
      <name val="Calibri"/>
      <family val="2"/>
      <scheme val="minor"/>
    </font>
    <font>
      <sz val="16"/>
      <color rgb="FFC00000"/>
      <name val="Calibri (Body)"/>
    </font>
    <font>
      <i/>
      <sz val="16"/>
      <color theme="0"/>
      <name val="Calibri (Body)"/>
    </font>
    <font>
      <sz val="18"/>
      <color theme="1"/>
      <name val="Helvetica Neue"/>
      <family val="2"/>
    </font>
    <font>
      <sz val="18"/>
      <color theme="1"/>
      <name val="Calibri"/>
      <family val="2"/>
      <charset val="1"/>
    </font>
    <font>
      <sz val="14"/>
      <color rgb="FF00B050"/>
      <name val="Calibri"/>
      <family val="2"/>
      <charset val="1"/>
    </font>
    <font>
      <sz val="11"/>
      <color rgb="FF00B050"/>
      <name val="Calibri (Body)"/>
    </font>
    <font>
      <sz val="14"/>
      <color rgb="FF00B050"/>
      <name val="Calibri (Body)"/>
    </font>
    <font>
      <sz val="14"/>
      <color theme="1"/>
      <name val="Calibri"/>
      <family val="2"/>
      <scheme val="minor"/>
    </font>
    <font>
      <sz val="11"/>
      <color rgb="FF00B050"/>
      <name val="Calibri"/>
      <family val="2"/>
      <charset val="1"/>
    </font>
    <font>
      <sz val="14"/>
      <color rgb="FF00B050"/>
      <name val="Calibri"/>
      <family val="2"/>
      <scheme val="minor"/>
    </font>
    <font>
      <sz val="22"/>
      <color rgb="FF000000"/>
      <name val="Calibri"/>
      <family val="2"/>
      <scheme val="minor"/>
    </font>
    <font>
      <sz val="16"/>
      <color theme="1"/>
      <name val="Calibri"/>
      <family val="2"/>
    </font>
    <font>
      <sz val="12"/>
      <color theme="1"/>
      <name val="Calibri (Body)"/>
    </font>
    <font>
      <sz val="16"/>
      <color rgb="FF202122"/>
      <name val="Arial"/>
      <family val="2"/>
    </font>
    <font>
      <b/>
      <sz val="14"/>
      <color rgb="FF202122"/>
      <name val="Arial"/>
      <family val="2"/>
    </font>
    <font>
      <sz val="14"/>
      <color rgb="FF000000"/>
      <name val="Arial"/>
      <family val="2"/>
    </font>
    <font>
      <b/>
      <sz val="16"/>
      <color rgb="FF202122"/>
      <name val="Arial"/>
      <family val="2"/>
    </font>
    <font>
      <sz val="11"/>
      <color rgb="FF202122"/>
      <name val="Calibri"/>
      <family val="2"/>
    </font>
    <font>
      <sz val="16"/>
      <color rgb="FF000000"/>
      <name val="Calibri"/>
      <family val="2"/>
      <charset val="1"/>
    </font>
    <font>
      <sz val="12"/>
      <color rgb="FF00B050"/>
      <name val="Calibri (Body)"/>
    </font>
    <font>
      <sz val="11"/>
      <color theme="1"/>
      <name val="Calibri"/>
      <family val="2"/>
    </font>
    <font>
      <sz val="12"/>
      <color rgb="FFFFC000"/>
      <name val="Calibri"/>
      <family val="2"/>
      <scheme val="minor"/>
    </font>
    <font>
      <sz val="10"/>
      <color rgb="FF000000"/>
      <name val="Helvetica"/>
      <family val="2"/>
    </font>
    <font>
      <sz val="16"/>
      <color rgb="FF000000"/>
      <name val="Calibri"/>
      <family val="2"/>
      <charset val="1"/>
      <scheme val="minor"/>
    </font>
    <font>
      <sz val="12"/>
      <color rgb="FF000000"/>
      <name val="Arial"/>
      <family val="2"/>
    </font>
    <font>
      <i/>
      <sz val="18"/>
      <color rgb="FF00B050"/>
      <name val="Helvetica Neue"/>
      <family val="2"/>
    </font>
    <font>
      <sz val="12"/>
      <color rgb="FFFF0000"/>
      <name val="Calibri"/>
      <family val="2"/>
      <scheme val="minor"/>
    </font>
    <font>
      <sz val="11"/>
      <color theme="1"/>
      <name val="Calibri (Body)"/>
    </font>
    <font>
      <sz val="11"/>
      <color theme="9" tint="-0.249977111117893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8"/>
      <color rgb="FF212529"/>
      <name val="Arial"/>
      <family val="2"/>
    </font>
    <font>
      <sz val="11"/>
      <color rgb="FF54586B"/>
      <name val="Arial"/>
      <family val="2"/>
    </font>
    <font>
      <sz val="11"/>
      <color rgb="FF000000"/>
      <name val="Arial"/>
      <family val="2"/>
    </font>
    <font>
      <sz val="11"/>
      <color rgb="FF00334E"/>
      <name val="Arial"/>
      <family val="2"/>
    </font>
    <font>
      <sz val="11"/>
      <color rgb="FF212529"/>
      <name val="Arial"/>
      <family val="2"/>
    </font>
    <font>
      <sz val="11"/>
      <color rgb="FF21252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993300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</borders>
  <cellStyleXfs count="192">
    <xf numFmtId="0" fontId="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517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16" fontId="0" fillId="0" borderId="1" xfId="0" applyNumberFormat="1" applyBorder="1"/>
    <xf numFmtId="0" fontId="7" fillId="2" borderId="0" xfId="0" applyFont="1" applyFill="1"/>
    <xf numFmtId="0" fontId="7" fillId="0" borderId="0" xfId="0" applyFont="1"/>
    <xf numFmtId="0" fontId="7" fillId="0" borderId="1" xfId="0" applyFont="1" applyBorder="1"/>
    <xf numFmtId="0" fontId="8" fillId="2" borderId="0" xfId="0" applyFont="1" applyFill="1"/>
    <xf numFmtId="0" fontId="8" fillId="0" borderId="0" xfId="0" applyFont="1"/>
    <xf numFmtId="0" fontId="8" fillId="0" borderId="1" xfId="0" applyFont="1" applyBorder="1"/>
    <xf numFmtId="0" fontId="7" fillId="2" borderId="1" xfId="0" applyFont="1" applyFill="1" applyBorder="1"/>
    <xf numFmtId="16" fontId="7" fillId="0" borderId="0" xfId="0" applyNumberFormat="1" applyFont="1"/>
    <xf numFmtId="0" fontId="7" fillId="2" borderId="0" xfId="0" applyFont="1" applyFill="1" applyAlignment="1">
      <alignment horizontal="right"/>
    </xf>
    <xf numFmtId="0" fontId="9" fillId="0" borderId="1" xfId="0" applyFont="1" applyBorder="1"/>
    <xf numFmtId="0" fontId="10" fillId="0" borderId="1" xfId="0" applyFont="1" applyBorder="1"/>
    <xf numFmtId="0" fontId="14" fillId="0" borderId="0" xfId="0" applyFont="1"/>
    <xf numFmtId="0" fontId="8" fillId="0" borderId="1" xfId="0" quotePrefix="1" applyFont="1" applyBorder="1"/>
    <xf numFmtId="0" fontId="15" fillId="0" borderId="0" xfId="0" applyFont="1"/>
    <xf numFmtId="0" fontId="16" fillId="0" borderId="0" xfId="0" applyFont="1"/>
    <xf numFmtId="0" fontId="17" fillId="6" borderId="1" xfId="0" applyFont="1" applyFill="1" applyBorder="1"/>
    <xf numFmtId="0" fontId="17" fillId="0" borderId="0" xfId="0" applyFont="1"/>
    <xf numFmtId="0" fontId="0" fillId="0" borderId="13" xfId="0" applyBorder="1"/>
    <xf numFmtId="0" fontId="0" fillId="4" borderId="0" xfId="0" applyFill="1"/>
    <xf numFmtId="0" fontId="17" fillId="6" borderId="14" xfId="0" applyFont="1" applyFill="1" applyBorder="1"/>
    <xf numFmtId="0" fontId="13" fillId="0" borderId="0" xfId="0" applyFont="1"/>
    <xf numFmtId="0" fontId="0" fillId="0" borderId="11" xfId="0" applyBorder="1"/>
    <xf numFmtId="0" fontId="0" fillId="4" borderId="11" xfId="0" applyFill="1" applyBorder="1"/>
    <xf numFmtId="0" fontId="7" fillId="4" borderId="5" xfId="0" applyFont="1" applyFill="1" applyBorder="1"/>
    <xf numFmtId="0" fontId="7" fillId="0" borderId="6" xfId="0" applyFont="1" applyBorder="1"/>
    <xf numFmtId="0" fontId="7" fillId="0" borderId="7" xfId="0" applyFont="1" applyBorder="1"/>
    <xf numFmtId="16" fontId="7" fillId="0" borderId="8" xfId="0" applyNumberFormat="1" applyFont="1" applyBorder="1"/>
    <xf numFmtId="0" fontId="7" fillId="0" borderId="9" xfId="0" applyFont="1" applyBorder="1"/>
    <xf numFmtId="0" fontId="7" fillId="0" borderId="8" xfId="0" applyFont="1" applyBorder="1"/>
    <xf numFmtId="16" fontId="7" fillId="0" borderId="8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4" borderId="5" xfId="0" applyFont="1" applyFill="1" applyBorder="1" applyAlignment="1">
      <alignment horizontal="left"/>
    </xf>
    <xf numFmtId="16" fontId="7" fillId="0" borderId="10" xfId="0" applyNumberFormat="1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16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20" fillId="4" borderId="0" xfId="0" applyFont="1" applyFill="1"/>
    <xf numFmtId="0" fontId="20" fillId="0" borderId="0" xfId="0" applyFont="1"/>
    <xf numFmtId="0" fontId="20" fillId="0" borderId="1" xfId="0" applyFont="1" applyBorder="1"/>
    <xf numFmtId="0" fontId="22" fillId="0" borderId="0" xfId="0" applyFont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4" xfId="0" applyBorder="1"/>
    <xf numFmtId="0" fontId="0" fillId="0" borderId="22" xfId="0" applyBorder="1"/>
    <xf numFmtId="0" fontId="7" fillId="0" borderId="23" xfId="0" applyFont="1" applyBorder="1"/>
    <xf numFmtId="0" fontId="7" fillId="0" borderId="24" xfId="0" applyFont="1" applyBorder="1"/>
    <xf numFmtId="0" fontId="7" fillId="0" borderId="25" xfId="0" applyFont="1" applyBorder="1"/>
    <xf numFmtId="0" fontId="7" fillId="0" borderId="26" xfId="0" applyFont="1" applyBorder="1"/>
    <xf numFmtId="0" fontId="7" fillId="0" borderId="13" xfId="0" applyFont="1" applyBorder="1"/>
    <xf numFmtId="0" fontId="0" fillId="0" borderId="0" xfId="0" applyAlignment="1">
      <alignment horizontal="right"/>
    </xf>
    <xf numFmtId="0" fontId="0" fillId="4" borderId="1" xfId="0" applyFill="1" applyBorder="1" applyAlignment="1">
      <alignment horizontal="right"/>
    </xf>
    <xf numFmtId="0" fontId="0" fillId="4" borderId="16" xfId="0" applyFill="1" applyBorder="1"/>
    <xf numFmtId="0" fontId="7" fillId="0" borderId="20" xfId="0" applyFont="1" applyBorder="1"/>
    <xf numFmtId="0" fontId="7" fillId="0" borderId="14" xfId="0" applyFont="1" applyBorder="1"/>
    <xf numFmtId="0" fontId="7" fillId="0" borderId="22" xfId="0" applyFont="1" applyBorder="1"/>
    <xf numFmtId="0" fontId="7" fillId="4" borderId="29" xfId="0" applyFont="1" applyFill="1" applyBorder="1" applyAlignment="1">
      <alignment horizontal="left"/>
    </xf>
    <xf numFmtId="0" fontId="7" fillId="0" borderId="30" xfId="0" applyFont="1" applyBorder="1"/>
    <xf numFmtId="0" fontId="7" fillId="0" borderId="33" xfId="0" applyFont="1" applyBorder="1"/>
    <xf numFmtId="0" fontId="7" fillId="0" borderId="31" xfId="0" applyFont="1" applyBorder="1"/>
    <xf numFmtId="16" fontId="7" fillId="0" borderId="28" xfId="0" applyNumberFormat="1" applyFont="1" applyBorder="1" applyAlignment="1">
      <alignment horizontal="left"/>
    </xf>
    <xf numFmtId="0" fontId="28" fillId="4" borderId="16" xfId="0" applyFont="1" applyFill="1" applyBorder="1"/>
    <xf numFmtId="0" fontId="28" fillId="4" borderId="17" xfId="0" applyFont="1" applyFill="1" applyBorder="1"/>
    <xf numFmtId="0" fontId="28" fillId="4" borderId="18" xfId="0" applyFont="1" applyFill="1" applyBorder="1"/>
    <xf numFmtId="0" fontId="20" fillId="4" borderId="16" xfId="0" applyFont="1" applyFill="1" applyBorder="1"/>
    <xf numFmtId="0" fontId="20" fillId="4" borderId="17" xfId="0" applyFont="1" applyFill="1" applyBorder="1"/>
    <xf numFmtId="0" fontId="20" fillId="0" borderId="19" xfId="0" applyFont="1" applyBorder="1"/>
    <xf numFmtId="0" fontId="20" fillId="0" borderId="14" xfId="0" applyFont="1" applyBorder="1"/>
    <xf numFmtId="0" fontId="20" fillId="4" borderId="17" xfId="0" applyFont="1" applyFill="1" applyBorder="1" applyAlignment="1">
      <alignment horizontal="right"/>
    </xf>
    <xf numFmtId="0" fontId="20" fillId="0" borderId="20" xfId="0" applyFont="1" applyBorder="1"/>
    <xf numFmtId="0" fontId="20" fillId="0" borderId="22" xfId="0" applyFont="1" applyBorder="1"/>
    <xf numFmtId="0" fontId="0" fillId="4" borderId="24" xfId="0" applyFill="1" applyBorder="1"/>
    <xf numFmtId="0" fontId="0" fillId="0" borderId="16" xfId="0" applyBorder="1"/>
    <xf numFmtId="0" fontId="20" fillId="0" borderId="21" xfId="0" applyFont="1" applyBorder="1"/>
    <xf numFmtId="0" fontId="0" fillId="0" borderId="1" xfId="0" applyBorder="1" applyAlignment="1">
      <alignment horizontal="left"/>
    </xf>
    <xf numFmtId="0" fontId="20" fillId="0" borderId="18" xfId="0" applyFont="1" applyBorder="1"/>
    <xf numFmtId="0" fontId="20" fillId="4" borderId="19" xfId="0" applyFont="1" applyFill="1" applyBorder="1"/>
    <xf numFmtId="15" fontId="29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7" fillId="4" borderId="15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right"/>
    </xf>
    <xf numFmtId="0" fontId="20" fillId="0" borderId="3" xfId="0" applyFont="1" applyBorder="1"/>
    <xf numFmtId="0" fontId="19" fillId="0" borderId="14" xfId="0" applyFont="1" applyBorder="1" applyAlignment="1">
      <alignment horizontal="right"/>
    </xf>
    <xf numFmtId="0" fontId="0" fillId="5" borderId="0" xfId="0" applyFill="1"/>
    <xf numFmtId="0" fontId="30" fillId="0" borderId="0" xfId="0" applyFont="1"/>
    <xf numFmtId="0" fontId="7" fillId="0" borderId="24" xfId="0" applyFont="1" applyBorder="1" applyAlignment="1">
      <alignment horizontal="right"/>
    </xf>
    <xf numFmtId="0" fontId="7" fillId="4" borderId="24" xfId="0" applyFont="1" applyFill="1" applyBorder="1"/>
    <xf numFmtId="0" fontId="7" fillId="4" borderId="27" xfId="0" applyFont="1" applyFill="1" applyBorder="1"/>
    <xf numFmtId="0" fontId="7" fillId="4" borderId="25" xfId="0" applyFont="1" applyFill="1" applyBorder="1"/>
    <xf numFmtId="14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  <xf numFmtId="0" fontId="0" fillId="6" borderId="0" xfId="0" applyFill="1"/>
    <xf numFmtId="0" fontId="7" fillId="4" borderId="35" xfId="0" applyFont="1" applyFill="1" applyBorder="1" applyAlignment="1">
      <alignment horizontal="left"/>
    </xf>
    <xf numFmtId="0" fontId="7" fillId="0" borderId="17" xfId="0" applyFont="1" applyBorder="1"/>
    <xf numFmtId="0" fontId="7" fillId="0" borderId="17" xfId="0" applyFont="1" applyBorder="1" applyAlignment="1">
      <alignment horizontal="right"/>
    </xf>
    <xf numFmtId="0" fontId="7" fillId="0" borderId="18" xfId="0" applyFont="1" applyBorder="1" applyAlignment="1">
      <alignment horizontal="right"/>
    </xf>
    <xf numFmtId="16" fontId="7" fillId="0" borderId="19" xfId="0" applyNumberFormat="1" applyFont="1" applyBorder="1" applyAlignment="1">
      <alignment horizontal="left"/>
    </xf>
    <xf numFmtId="0" fontId="27" fillId="0" borderId="0" xfId="0" applyFont="1" applyAlignment="1">
      <alignment horizontal="right"/>
    </xf>
    <xf numFmtId="0" fontId="27" fillId="0" borderId="20" xfId="0" applyFont="1" applyBorder="1"/>
    <xf numFmtId="4" fontId="32" fillId="0" borderId="0" xfId="0" applyNumberFormat="1" applyFont="1"/>
    <xf numFmtId="4" fontId="32" fillId="0" borderId="20" xfId="0" applyNumberFormat="1" applyFont="1" applyBorder="1"/>
    <xf numFmtId="0" fontId="0" fillId="0" borderId="1" xfId="0" quotePrefix="1" applyBorder="1"/>
    <xf numFmtId="0" fontId="0" fillId="0" borderId="38" xfId="0" applyBorder="1"/>
    <xf numFmtId="16" fontId="0" fillId="0" borderId="37" xfId="0" quotePrefix="1" applyNumberFormat="1" applyBorder="1" applyAlignment="1">
      <alignment horizontal="left"/>
    </xf>
    <xf numFmtId="0" fontId="21" fillId="4" borderId="36" xfId="0" applyFont="1" applyFill="1" applyBorder="1"/>
    <xf numFmtId="0" fontId="0" fillId="0" borderId="42" xfId="0" applyBorder="1"/>
    <xf numFmtId="0" fontId="0" fillId="0" borderId="43" xfId="0" applyBorder="1"/>
    <xf numFmtId="16" fontId="0" fillId="0" borderId="37" xfId="0" quotePrefix="1" applyNumberFormat="1" applyBorder="1"/>
    <xf numFmtId="0" fontId="0" fillId="0" borderId="37" xfId="0" applyBorder="1" applyAlignment="1">
      <alignment horizontal="left"/>
    </xf>
    <xf numFmtId="0" fontId="21" fillId="4" borderId="0" xfId="0" applyFont="1" applyFill="1"/>
    <xf numFmtId="0" fontId="0" fillId="0" borderId="0" xfId="0" applyAlignment="1">
      <alignment horizontal="left"/>
    </xf>
    <xf numFmtId="0" fontId="0" fillId="0" borderId="36" xfId="0" applyBorder="1"/>
    <xf numFmtId="0" fontId="0" fillId="5" borderId="42" xfId="0" applyFill="1" applyBorder="1"/>
    <xf numFmtId="15" fontId="24" fillId="6" borderId="0" xfId="0" applyNumberFormat="1" applyFont="1" applyFill="1" applyAlignment="1">
      <alignment horizontal="left"/>
    </xf>
    <xf numFmtId="0" fontId="22" fillId="5" borderId="0" xfId="0" applyFont="1" applyFill="1"/>
    <xf numFmtId="0" fontId="22" fillId="0" borderId="0" xfId="0" applyFont="1" applyAlignment="1">
      <alignment horizontal="center"/>
    </xf>
    <xf numFmtId="15" fontId="22" fillId="0" borderId="0" xfId="0" applyNumberFormat="1" applyFont="1" applyAlignment="1">
      <alignment horizontal="left"/>
    </xf>
    <xf numFmtId="0" fontId="26" fillId="0" borderId="0" xfId="0" applyFont="1"/>
    <xf numFmtId="0" fontId="23" fillId="0" borderId="0" xfId="0" applyFont="1"/>
    <xf numFmtId="0" fontId="25" fillId="0" borderId="0" xfId="0" applyFont="1"/>
    <xf numFmtId="15" fontId="24" fillId="0" borderId="0" xfId="0" applyNumberFormat="1" applyFont="1" applyAlignment="1">
      <alignment horizontal="left"/>
    </xf>
    <xf numFmtId="0" fontId="22" fillId="6" borderId="0" xfId="0" applyFont="1" applyFill="1"/>
    <xf numFmtId="15" fontId="0" fillId="0" borderId="0" xfId="0" applyNumberFormat="1" applyAlignment="1">
      <alignment horizontal="left"/>
    </xf>
    <xf numFmtId="0" fontId="18" fillId="0" borderId="0" xfId="0" applyFont="1"/>
    <xf numFmtId="0" fontId="18" fillId="6" borderId="0" xfId="0" applyFont="1" applyFill="1"/>
    <xf numFmtId="0" fontId="0" fillId="6" borderId="37" xfId="0" applyFill="1" applyBorder="1" applyAlignment="1">
      <alignment horizontal="left"/>
    </xf>
    <xf numFmtId="0" fontId="22" fillId="0" borderId="38" xfId="0" applyFont="1" applyBorder="1" applyAlignment="1">
      <alignment horizontal="left"/>
    </xf>
    <xf numFmtId="0" fontId="22" fillId="0" borderId="38" xfId="0" applyFont="1" applyBorder="1" applyAlignment="1">
      <alignment horizontal="center"/>
    </xf>
    <xf numFmtId="0" fontId="22" fillId="0" borderId="38" xfId="0" applyFont="1" applyBorder="1"/>
    <xf numFmtId="0" fontId="21" fillId="4" borderId="42" xfId="0" applyFont="1" applyFill="1" applyBorder="1"/>
    <xf numFmtId="0" fontId="21" fillId="4" borderId="43" xfId="0" applyFont="1" applyFill="1" applyBorder="1"/>
    <xf numFmtId="16" fontId="7" fillId="0" borderId="0" xfId="0" applyNumberFormat="1" applyFont="1" applyAlignment="1">
      <alignment horizontal="left"/>
    </xf>
    <xf numFmtId="0" fontId="27" fillId="0" borderId="17" xfId="0" applyFont="1" applyBorder="1"/>
    <xf numFmtId="0" fontId="27" fillId="0" borderId="1" xfId="0" applyFont="1" applyBorder="1"/>
    <xf numFmtId="0" fontId="27" fillId="0" borderId="0" xfId="0" applyFont="1"/>
    <xf numFmtId="0" fontId="27" fillId="0" borderId="19" xfId="0" applyFont="1" applyBorder="1"/>
    <xf numFmtId="16" fontId="27" fillId="4" borderId="1" xfId="0" applyNumberFormat="1" applyFont="1" applyFill="1" applyBorder="1"/>
    <xf numFmtId="0" fontId="21" fillId="0" borderId="1" xfId="0" applyFont="1" applyBorder="1" applyAlignment="1">
      <alignment horizontal="right"/>
    </xf>
    <xf numFmtId="0" fontId="21" fillId="0" borderId="1" xfId="0" applyFont="1" applyBorder="1"/>
    <xf numFmtId="0" fontId="27" fillId="0" borderId="21" xfId="0" applyFont="1" applyBorder="1"/>
    <xf numFmtId="0" fontId="27" fillId="0" borderId="22" xfId="0" applyFont="1" applyBorder="1"/>
    <xf numFmtId="0" fontId="21" fillId="0" borderId="4" xfId="0" applyFont="1" applyBorder="1"/>
    <xf numFmtId="16" fontId="27" fillId="4" borderId="16" xfId="0" applyNumberFormat="1" applyFont="1" applyFill="1" applyBorder="1"/>
    <xf numFmtId="0" fontId="21" fillId="0" borderId="17" xfId="0" applyFont="1" applyBorder="1" applyAlignment="1">
      <alignment horizontal="right"/>
    </xf>
    <xf numFmtId="0" fontId="21" fillId="0" borderId="18" xfId="0" applyFont="1" applyBorder="1" applyAlignment="1">
      <alignment horizontal="right"/>
    </xf>
    <xf numFmtId="0" fontId="27" fillId="6" borderId="0" xfId="0" applyFont="1" applyFill="1"/>
    <xf numFmtId="0" fontId="27" fillId="6" borderId="20" xfId="0" applyFont="1" applyFill="1" applyBorder="1"/>
    <xf numFmtId="0" fontId="21" fillId="0" borderId="0" xfId="0" applyFont="1"/>
    <xf numFmtId="0" fontId="21" fillId="0" borderId="19" xfId="0" applyFont="1" applyBorder="1"/>
    <xf numFmtId="0" fontId="21" fillId="0" borderId="21" xfId="0" applyFont="1" applyBorder="1"/>
    <xf numFmtId="0" fontId="21" fillId="0" borderId="14" xfId="0" applyFont="1" applyBorder="1"/>
    <xf numFmtId="0" fontId="21" fillId="0" borderId="22" xfId="0" applyFont="1" applyBorder="1"/>
    <xf numFmtId="0" fontId="27" fillId="4" borderId="17" xfId="0" applyFont="1" applyFill="1" applyBorder="1"/>
    <xf numFmtId="0" fontId="27" fillId="0" borderId="14" xfId="0" applyFont="1" applyBorder="1"/>
    <xf numFmtId="0" fontId="33" fillId="7" borderId="16" xfId="0" applyFont="1" applyFill="1" applyBorder="1"/>
    <xf numFmtId="0" fontId="27" fillId="0" borderId="18" xfId="0" applyFont="1" applyBorder="1"/>
    <xf numFmtId="0" fontId="34" fillId="0" borderId="0" xfId="0" applyFont="1"/>
    <xf numFmtId="0" fontId="0" fillId="0" borderId="3" xfId="0" applyBorder="1"/>
    <xf numFmtId="0" fontId="7" fillId="4" borderId="14" xfId="0" applyFont="1" applyFill="1" applyBorder="1"/>
    <xf numFmtId="0" fontId="27" fillId="4" borderId="16" xfId="0" applyFont="1" applyFill="1" applyBorder="1"/>
    <xf numFmtId="0" fontId="7" fillId="0" borderId="19" xfId="0" applyFont="1" applyBorder="1"/>
    <xf numFmtId="0" fontId="7" fillId="0" borderId="19" xfId="0" applyFont="1" applyBorder="1" applyAlignment="1">
      <alignment horizontal="left"/>
    </xf>
    <xf numFmtId="0" fontId="7" fillId="4" borderId="21" xfId="0" applyFont="1" applyFill="1" applyBorder="1"/>
    <xf numFmtId="0" fontId="7" fillId="4" borderId="22" xfId="0" applyFont="1" applyFill="1" applyBorder="1"/>
    <xf numFmtId="0" fontId="27" fillId="4" borderId="17" xfId="0" applyFont="1" applyFill="1" applyBorder="1" applyAlignment="1">
      <alignment horizontal="right"/>
    </xf>
    <xf numFmtId="0" fontId="0" fillId="5" borderId="19" xfId="0" applyFill="1" applyBorder="1"/>
    <xf numFmtId="0" fontId="35" fillId="0" borderId="0" xfId="0" applyFont="1"/>
    <xf numFmtId="0" fontId="36" fillId="0" borderId="0" xfId="0" applyFont="1"/>
    <xf numFmtId="4" fontId="37" fillId="0" borderId="1" xfId="0" applyNumberFormat="1" applyFont="1" applyBorder="1"/>
    <xf numFmtId="0" fontId="35" fillId="0" borderId="9" xfId="0" applyFont="1" applyBorder="1"/>
    <xf numFmtId="0" fontId="38" fillId="0" borderId="1" xfId="0" applyFont="1" applyBorder="1"/>
    <xf numFmtId="0" fontId="39" fillId="0" borderId="0" xfId="0" applyFont="1"/>
    <xf numFmtId="0" fontId="36" fillId="0" borderId="9" xfId="0" applyFont="1" applyBorder="1"/>
    <xf numFmtId="0" fontId="35" fillId="0" borderId="2" xfId="0" applyFont="1" applyBorder="1"/>
    <xf numFmtId="164" fontId="35" fillId="0" borderId="32" xfId="0" applyNumberFormat="1" applyFont="1" applyBorder="1"/>
    <xf numFmtId="0" fontId="40" fillId="0" borderId="0" xfId="0" applyFont="1"/>
    <xf numFmtId="0" fontId="40" fillId="0" borderId="17" xfId="0" applyFont="1" applyBorder="1"/>
    <xf numFmtId="0" fontId="40" fillId="0" borderId="18" xfId="0" applyFont="1" applyBorder="1"/>
    <xf numFmtId="0" fontId="41" fillId="0" borderId="0" xfId="0" applyFont="1"/>
    <xf numFmtId="0" fontId="40" fillId="0" borderId="19" xfId="0" applyFont="1" applyBorder="1"/>
    <xf numFmtId="0" fontId="41" fillId="4" borderId="16" xfId="0" applyFont="1" applyFill="1" applyBorder="1" applyAlignment="1">
      <alignment horizontal="left"/>
    </xf>
    <xf numFmtId="0" fontId="40" fillId="6" borderId="17" xfId="0" applyFont="1" applyFill="1" applyBorder="1" applyAlignment="1">
      <alignment horizontal="right"/>
    </xf>
    <xf numFmtId="0" fontId="40" fillId="6" borderId="18" xfId="0" applyFont="1" applyFill="1" applyBorder="1" applyAlignment="1">
      <alignment horizontal="right"/>
    </xf>
    <xf numFmtId="0" fontId="40" fillId="0" borderId="20" xfId="0" applyFont="1" applyBorder="1"/>
    <xf numFmtId="0" fontId="40" fillId="0" borderId="21" xfId="0" applyFont="1" applyBorder="1"/>
    <xf numFmtId="0" fontId="40" fillId="0" borderId="14" xfId="0" applyFont="1" applyBorder="1"/>
    <xf numFmtId="0" fontId="40" fillId="0" borderId="22" xfId="0" applyFont="1" applyBorder="1"/>
    <xf numFmtId="0" fontId="40" fillId="0" borderId="16" xfId="0" applyFont="1" applyBorder="1" applyAlignment="1">
      <alignment horizontal="left"/>
    </xf>
    <xf numFmtId="0" fontId="40" fillId="0" borderId="19" xfId="0" applyFont="1" applyBorder="1" applyAlignment="1">
      <alignment horizontal="left"/>
    </xf>
    <xf numFmtId="16" fontId="0" fillId="0" borderId="0" xfId="0" quotePrefix="1" applyNumberFormat="1" applyAlignment="1">
      <alignment horizontal="left"/>
    </xf>
    <xf numFmtId="0" fontId="0" fillId="0" borderId="0" xfId="0" quotePrefix="1"/>
    <xf numFmtId="16" fontId="0" fillId="0" borderId="0" xfId="0" quotePrefix="1" applyNumberFormat="1"/>
    <xf numFmtId="0" fontId="0" fillId="4" borderId="17" xfId="0" applyFill="1" applyBorder="1"/>
    <xf numFmtId="0" fontId="27" fillId="0" borderId="19" xfId="0" applyFont="1" applyBorder="1" applyAlignment="1">
      <alignment horizontal="left"/>
    </xf>
    <xf numFmtId="0" fontId="41" fillId="0" borderId="17" xfId="0" applyFont="1" applyBorder="1"/>
    <xf numFmtId="0" fontId="0" fillId="0" borderId="44" xfId="0" quotePrefix="1" applyBorder="1" applyAlignment="1">
      <alignment horizontal="left"/>
    </xf>
    <xf numFmtId="0" fontId="0" fillId="0" borderId="14" xfId="0" applyBorder="1" applyAlignment="1">
      <alignment horizontal="left"/>
    </xf>
    <xf numFmtId="0" fontId="0" fillId="5" borderId="0" xfId="0" applyFill="1" applyAlignment="1">
      <alignment horizontal="right"/>
    </xf>
    <xf numFmtId="0" fontId="0" fillId="5" borderId="14" xfId="0" applyFill="1" applyBorder="1" applyAlignment="1">
      <alignment horizontal="right"/>
    </xf>
    <xf numFmtId="0" fontId="44" fillId="6" borderId="45" xfId="0" applyFont="1" applyFill="1" applyBorder="1" applyAlignment="1">
      <alignment horizontal="right" vertical="top" wrapText="1"/>
    </xf>
    <xf numFmtId="0" fontId="43" fillId="9" borderId="46" xfId="0" applyFont="1" applyFill="1" applyBorder="1" applyAlignment="1">
      <alignment horizontal="right" vertical="top" wrapText="1"/>
    </xf>
    <xf numFmtId="0" fontId="44" fillId="6" borderId="47" xfId="0" applyFont="1" applyFill="1" applyBorder="1" applyAlignment="1">
      <alignment horizontal="right" vertical="top" wrapText="1"/>
    </xf>
    <xf numFmtId="0" fontId="40" fillId="0" borderId="6" xfId="0" applyFont="1" applyBorder="1"/>
    <xf numFmtId="0" fontId="40" fillId="0" borderId="7" xfId="0" applyFont="1" applyBorder="1"/>
    <xf numFmtId="0" fontId="40" fillId="0" borderId="9" xfId="0" applyFont="1" applyBorder="1"/>
    <xf numFmtId="0" fontId="44" fillId="6" borderId="48" xfId="0" applyFont="1" applyFill="1" applyBorder="1" applyAlignment="1">
      <alignment horizontal="right" vertical="top" wrapText="1"/>
    </xf>
    <xf numFmtId="0" fontId="40" fillId="0" borderId="11" xfId="0" applyFont="1" applyBorder="1"/>
    <xf numFmtId="0" fontId="40" fillId="0" borderId="12" xfId="0" applyFont="1" applyBorder="1"/>
    <xf numFmtId="0" fontId="44" fillId="6" borderId="49" xfId="0" applyFont="1" applyFill="1" applyBorder="1" applyAlignment="1">
      <alignment horizontal="right" vertical="top" wrapText="1"/>
    </xf>
    <xf numFmtId="0" fontId="41" fillId="4" borderId="24" xfId="0" applyFont="1" applyFill="1" applyBorder="1" applyAlignment="1">
      <alignment horizontal="left"/>
    </xf>
    <xf numFmtId="0" fontId="41" fillId="4" borderId="25" xfId="0" applyFont="1" applyFill="1" applyBorder="1" applyAlignment="1">
      <alignment horizontal="left"/>
    </xf>
    <xf numFmtId="0" fontId="41" fillId="4" borderId="15" xfId="0" applyFont="1" applyFill="1" applyBorder="1" applyAlignment="1">
      <alignment horizontal="right"/>
    </xf>
    <xf numFmtId="0" fontId="40" fillId="0" borderId="50" xfId="0" applyFont="1" applyBorder="1"/>
    <xf numFmtId="0" fontId="41" fillId="0" borderId="51" xfId="0" applyFont="1" applyBorder="1" applyAlignment="1">
      <alignment horizontal="left"/>
    </xf>
    <xf numFmtId="0" fontId="40" fillId="4" borderId="20" xfId="0" applyFont="1" applyFill="1" applyBorder="1"/>
    <xf numFmtId="0" fontId="40" fillId="0" borderId="52" xfId="0" applyFont="1" applyBorder="1" applyAlignment="1">
      <alignment horizontal="left"/>
    </xf>
    <xf numFmtId="0" fontId="40" fillId="0" borderId="53" xfId="0" applyFont="1" applyBorder="1"/>
    <xf numFmtId="0" fontId="44" fillId="6" borderId="55" xfId="0" applyFont="1" applyFill="1" applyBorder="1" applyAlignment="1">
      <alignment horizontal="right" vertical="top" wrapText="1"/>
    </xf>
    <xf numFmtId="0" fontId="40" fillId="0" borderId="56" xfId="0" applyFont="1" applyBorder="1"/>
    <xf numFmtId="0" fontId="40" fillId="0" borderId="57" xfId="0" applyFont="1" applyBorder="1"/>
    <xf numFmtId="0" fontId="44" fillId="6" borderId="57" xfId="0" applyFont="1" applyFill="1" applyBorder="1" applyAlignment="1">
      <alignment horizontal="right" vertical="top" wrapText="1"/>
    </xf>
    <xf numFmtId="0" fontId="45" fillId="0" borderId="0" xfId="0" applyFont="1"/>
    <xf numFmtId="0" fontId="46" fillId="4" borderId="0" xfId="0" applyFont="1" applyFill="1"/>
    <xf numFmtId="0" fontId="47" fillId="0" borderId="0" xfId="0" applyFont="1"/>
    <xf numFmtId="0" fontId="47" fillId="0" borderId="17" xfId="0" applyFont="1" applyBorder="1"/>
    <xf numFmtId="0" fontId="46" fillId="4" borderId="17" xfId="0" applyFont="1" applyFill="1" applyBorder="1" applyAlignment="1">
      <alignment horizontal="right"/>
    </xf>
    <xf numFmtId="0" fontId="47" fillId="0" borderId="18" xfId="0" applyFont="1" applyBorder="1"/>
    <xf numFmtId="0" fontId="46" fillId="0" borderId="0" xfId="0" applyFont="1" applyAlignment="1">
      <alignment horizontal="left"/>
    </xf>
    <xf numFmtId="0" fontId="46" fillId="0" borderId="0" xfId="0" applyFont="1"/>
    <xf numFmtId="0" fontId="46" fillId="0" borderId="20" xfId="0" applyFont="1" applyBorder="1"/>
    <xf numFmtId="0" fontId="47" fillId="0" borderId="19" xfId="0" applyFont="1" applyBorder="1"/>
    <xf numFmtId="0" fontId="47" fillId="0" borderId="20" xfId="0" applyFont="1" applyBorder="1"/>
    <xf numFmtId="0" fontId="48" fillId="0" borderId="20" xfId="0" applyFont="1" applyBorder="1"/>
    <xf numFmtId="0" fontId="48" fillId="0" borderId="14" xfId="0" applyFont="1" applyBorder="1"/>
    <xf numFmtId="0" fontId="27" fillId="0" borderId="37" xfId="0" applyFont="1" applyBorder="1" applyAlignment="1">
      <alignment horizontal="left"/>
    </xf>
    <xf numFmtId="15" fontId="27" fillId="0" borderId="0" xfId="0" applyNumberFormat="1" applyFont="1" applyAlignment="1">
      <alignment horizontal="left"/>
    </xf>
    <xf numFmtId="0" fontId="27" fillId="0" borderId="38" xfId="0" applyFont="1" applyBorder="1"/>
    <xf numFmtId="0" fontId="27" fillId="0" borderId="39" xfId="0" applyFont="1" applyBorder="1" applyAlignment="1">
      <alignment horizontal="left"/>
    </xf>
    <xf numFmtId="15" fontId="27" fillId="0" borderId="40" xfId="0" applyNumberFormat="1" applyFont="1" applyBorder="1" applyAlignment="1">
      <alignment horizontal="left"/>
    </xf>
    <xf numFmtId="0" fontId="27" fillId="0" borderId="40" xfId="0" applyFont="1" applyBorder="1"/>
    <xf numFmtId="0" fontId="27" fillId="0" borderId="41" xfId="0" applyFont="1" applyBorder="1"/>
    <xf numFmtId="15" fontId="27" fillId="0" borderId="0" xfId="0" quotePrefix="1" applyNumberFormat="1" applyFont="1" applyAlignment="1">
      <alignment horizontal="left"/>
    </xf>
    <xf numFmtId="0" fontId="27" fillId="5" borderId="0" xfId="0" applyFont="1" applyFill="1"/>
    <xf numFmtId="14" fontId="27" fillId="0" borderId="0" xfId="0" quotePrefix="1" applyNumberFormat="1" applyFont="1"/>
    <xf numFmtId="0" fontId="27" fillId="4" borderId="0" xfId="0" applyFont="1" applyFill="1"/>
    <xf numFmtId="0" fontId="7" fillId="6" borderId="0" xfId="0" applyFont="1" applyFill="1"/>
    <xf numFmtId="0" fontId="7" fillId="0" borderId="6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4" fontId="32" fillId="0" borderId="9" xfId="0" applyNumberFormat="1" applyFont="1" applyBorder="1"/>
    <xf numFmtId="0" fontId="27" fillId="0" borderId="9" xfId="0" applyFont="1" applyBorder="1" applyAlignment="1">
      <alignment horizontal="right"/>
    </xf>
    <xf numFmtId="0" fontId="7" fillId="0" borderId="8" xfId="0" quotePrefix="1" applyFont="1" applyBorder="1"/>
    <xf numFmtId="0" fontId="7" fillId="0" borderId="11" xfId="0" applyFont="1" applyBorder="1"/>
    <xf numFmtId="0" fontId="7" fillId="0" borderId="12" xfId="0" applyFont="1" applyBorder="1"/>
    <xf numFmtId="3" fontId="7" fillId="4" borderId="11" xfId="0" applyNumberFormat="1" applyFont="1" applyFill="1" applyBorder="1"/>
    <xf numFmtId="0" fontId="21" fillId="0" borderId="15" xfId="0" applyFont="1" applyBorder="1"/>
    <xf numFmtId="0" fontId="0" fillId="0" borderId="58" xfId="0" applyBorder="1"/>
    <xf numFmtId="0" fontId="0" fillId="0" borderId="3" xfId="0" applyBorder="1" applyAlignment="1">
      <alignment horizontal="left"/>
    </xf>
    <xf numFmtId="0" fontId="0" fillId="4" borderId="59" xfId="0" applyFill="1" applyBorder="1"/>
    <xf numFmtId="0" fontId="45" fillId="4" borderId="0" xfId="0" applyFont="1" applyFill="1"/>
    <xf numFmtId="4" fontId="32" fillId="0" borderId="19" xfId="0" quotePrefix="1" applyNumberFormat="1" applyFont="1" applyBorder="1"/>
    <xf numFmtId="4" fontId="32" fillId="0" borderId="19" xfId="0" applyNumberFormat="1" applyFont="1" applyBorder="1"/>
    <xf numFmtId="0" fontId="27" fillId="0" borderId="0" xfId="0" applyFont="1" applyAlignment="1">
      <alignment horizontal="left"/>
    </xf>
    <xf numFmtId="0" fontId="27" fillId="0" borderId="20" xfId="0" applyFont="1" applyBorder="1" applyAlignment="1">
      <alignment horizontal="left"/>
    </xf>
    <xf numFmtId="17" fontId="0" fillId="0" borderId="0" xfId="0" quotePrefix="1" applyNumberFormat="1" applyAlignment="1">
      <alignment horizontal="left"/>
    </xf>
    <xf numFmtId="0" fontId="40" fillId="0" borderId="59" xfId="0" applyFont="1" applyBorder="1"/>
    <xf numFmtId="0" fontId="44" fillId="6" borderId="59" xfId="0" applyFont="1" applyFill="1" applyBorder="1" applyAlignment="1">
      <alignment horizontal="right" vertical="top" wrapText="1"/>
    </xf>
    <xf numFmtId="0" fontId="21" fillId="4" borderId="60" xfId="0" applyFont="1" applyFill="1" applyBorder="1"/>
    <xf numFmtId="0" fontId="11" fillId="0" borderId="0" xfId="191"/>
    <xf numFmtId="0" fontId="51" fillId="0" borderId="0" xfId="0" applyFont="1"/>
    <xf numFmtId="0" fontId="52" fillId="0" borderId="19" xfId="0" applyFont="1" applyBorder="1" applyAlignment="1">
      <alignment horizontal="left"/>
    </xf>
    <xf numFmtId="0" fontId="54" fillId="4" borderId="16" xfId="0" applyFont="1" applyFill="1" applyBorder="1"/>
    <xf numFmtId="0" fontId="54" fillId="4" borderId="17" xfId="0" applyFont="1" applyFill="1" applyBorder="1"/>
    <xf numFmtId="0" fontId="54" fillId="4" borderId="17" xfId="0" applyFont="1" applyFill="1" applyBorder="1" applyAlignment="1">
      <alignment horizontal="right"/>
    </xf>
    <xf numFmtId="0" fontId="54" fillId="0" borderId="18" xfId="0" applyFont="1" applyBorder="1"/>
    <xf numFmtId="0" fontId="54" fillId="0" borderId="0" xfId="0" applyFont="1"/>
    <xf numFmtId="0" fontId="54" fillId="0" borderId="19" xfId="0" applyFont="1" applyBorder="1"/>
    <xf numFmtId="0" fontId="54" fillId="0" borderId="20" xfId="0" applyFont="1" applyBorder="1"/>
    <xf numFmtId="0" fontId="55" fillId="0" borderId="0" xfId="0" applyFont="1"/>
    <xf numFmtId="0" fontId="54" fillId="0" borderId="21" xfId="0" applyFont="1" applyBorder="1"/>
    <xf numFmtId="0" fontId="54" fillId="0" borderId="14" xfId="0" applyFont="1" applyBorder="1"/>
    <xf numFmtId="0" fontId="48" fillId="0" borderId="0" xfId="0" applyFont="1"/>
    <xf numFmtId="0" fontId="57" fillId="0" borderId="19" xfId="0" applyFont="1" applyBorder="1"/>
    <xf numFmtId="0" fontId="57" fillId="0" borderId="20" xfId="0" applyFont="1" applyBorder="1"/>
    <xf numFmtId="0" fontId="58" fillId="0" borderId="19" xfId="0" applyFont="1" applyBorder="1"/>
    <xf numFmtId="0" fontId="58" fillId="0" borderId="21" xfId="0" applyFont="1" applyBorder="1"/>
    <xf numFmtId="0" fontId="57" fillId="0" borderId="22" xfId="0" applyFont="1" applyBorder="1"/>
    <xf numFmtId="0" fontId="57" fillId="0" borderId="20" xfId="0" applyFont="1" applyBorder="1" applyAlignment="1">
      <alignment horizontal="right"/>
    </xf>
    <xf numFmtId="0" fontId="47" fillId="0" borderId="19" xfId="0" applyFont="1" applyBorder="1" applyAlignment="1">
      <alignment horizontal="left"/>
    </xf>
    <xf numFmtId="0" fontId="8" fillId="0" borderId="20" xfId="0" applyFont="1" applyBorder="1"/>
    <xf numFmtId="0" fontId="8" fillId="0" borderId="19" xfId="0" applyFont="1" applyBorder="1"/>
    <xf numFmtId="0" fontId="0" fillId="5" borderId="21" xfId="0" applyFill="1" applyBorder="1"/>
    <xf numFmtId="0" fontId="50" fillId="0" borderId="20" xfId="0" applyFont="1" applyBorder="1"/>
    <xf numFmtId="0" fontId="0" fillId="6" borderId="19" xfId="0" applyFill="1" applyBorder="1"/>
    <xf numFmtId="0" fontId="47" fillId="4" borderId="16" xfId="0" applyFont="1" applyFill="1" applyBorder="1"/>
    <xf numFmtId="0" fontId="47" fillId="0" borderId="17" xfId="0" applyFont="1" applyBorder="1" applyAlignment="1">
      <alignment horizontal="right"/>
    </xf>
    <xf numFmtId="0" fontId="47" fillId="0" borderId="0" xfId="0" applyFont="1" applyAlignment="1">
      <alignment horizontal="right"/>
    </xf>
    <xf numFmtId="0" fontId="47" fillId="0" borderId="21" xfId="0" applyFont="1" applyBorder="1"/>
    <xf numFmtId="0" fontId="47" fillId="0" borderId="14" xfId="0" applyFont="1" applyBorder="1"/>
    <xf numFmtId="3" fontId="47" fillId="0" borderId="20" xfId="0" applyNumberFormat="1" applyFont="1" applyBorder="1" applyAlignment="1">
      <alignment horizontal="right"/>
    </xf>
    <xf numFmtId="0" fontId="47" fillId="0" borderId="22" xfId="0" applyFont="1" applyBorder="1"/>
    <xf numFmtId="0" fontId="47" fillId="0" borderId="1" xfId="0" applyFont="1" applyBorder="1"/>
    <xf numFmtId="0" fontId="47" fillId="0" borderId="1" xfId="0" applyFont="1" applyBorder="1" applyAlignment="1">
      <alignment horizontal="right"/>
    </xf>
    <xf numFmtId="0" fontId="47" fillId="0" borderId="20" xfId="0" applyFont="1" applyBorder="1" applyAlignment="1">
      <alignment horizontal="right"/>
    </xf>
    <xf numFmtId="0" fontId="59" fillId="4" borderId="0" xfId="0" applyFont="1" applyFill="1"/>
    <xf numFmtId="0" fontId="46" fillId="4" borderId="16" xfId="0" applyFont="1" applyFill="1" applyBorder="1" applyAlignment="1">
      <alignment horizontal="left"/>
    </xf>
    <xf numFmtId="0" fontId="47" fillId="6" borderId="17" xfId="0" applyFont="1" applyFill="1" applyBorder="1" applyAlignment="1">
      <alignment horizontal="right"/>
    </xf>
    <xf numFmtId="0" fontId="47" fillId="6" borderId="18" xfId="0" applyFont="1" applyFill="1" applyBorder="1" applyAlignment="1">
      <alignment horizontal="right"/>
    </xf>
    <xf numFmtId="0" fontId="47" fillId="0" borderId="19" xfId="0" applyFont="1" applyBorder="1" applyAlignment="1">
      <alignment horizontal="right"/>
    </xf>
    <xf numFmtId="0" fontId="46" fillId="0" borderId="19" xfId="0" applyFont="1" applyBorder="1" applyAlignment="1">
      <alignment horizontal="right"/>
    </xf>
    <xf numFmtId="0" fontId="61" fillId="8" borderId="0" xfId="0" applyFont="1" applyFill="1"/>
    <xf numFmtId="0" fontId="48" fillId="0" borderId="19" xfId="0" applyFont="1" applyBorder="1"/>
    <xf numFmtId="0" fontId="60" fillId="0" borderId="21" xfId="0" applyFont="1" applyBorder="1"/>
    <xf numFmtId="0" fontId="48" fillId="0" borderId="22" xfId="0" applyFont="1" applyBorder="1"/>
    <xf numFmtId="0" fontId="58" fillId="6" borderId="19" xfId="0" applyFont="1" applyFill="1" applyBorder="1"/>
    <xf numFmtId="0" fontId="62" fillId="4" borderId="19" xfId="0" applyFont="1" applyFill="1" applyBorder="1"/>
    <xf numFmtId="0" fontId="7" fillId="4" borderId="0" xfId="0" applyFont="1" applyFill="1"/>
    <xf numFmtId="0" fontId="54" fillId="5" borderId="22" xfId="0" applyFont="1" applyFill="1" applyBorder="1"/>
    <xf numFmtId="0" fontId="54" fillId="5" borderId="0" xfId="0" applyFont="1" applyFill="1"/>
    <xf numFmtId="0" fontId="54" fillId="6" borderId="22" xfId="0" applyFont="1" applyFill="1" applyBorder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6" fillId="0" borderId="14" xfId="0" applyFont="1" applyBorder="1"/>
    <xf numFmtId="0" fontId="67" fillId="5" borderId="0" xfId="0" applyFont="1" applyFill="1"/>
    <xf numFmtId="0" fontId="0" fillId="5" borderId="0" xfId="0" applyFill="1" applyAlignment="1">
      <alignment horizontal="left"/>
    </xf>
    <xf numFmtId="0" fontId="68" fillId="0" borderId="0" xfId="0" applyFont="1"/>
    <xf numFmtId="0" fontId="18" fillId="5" borderId="0" xfId="0" applyFont="1" applyFill="1"/>
    <xf numFmtId="0" fontId="68" fillId="6" borderId="0" xfId="0" applyFont="1" applyFill="1"/>
    <xf numFmtId="0" fontId="8" fillId="5" borderId="0" xfId="0" applyFont="1" applyFill="1"/>
    <xf numFmtId="0" fontId="69" fillId="0" borderId="0" xfId="0" applyFont="1"/>
    <xf numFmtId="0" fontId="69" fillId="0" borderId="1" xfId="0" applyFont="1" applyBorder="1"/>
    <xf numFmtId="0" fontId="70" fillId="5" borderId="0" xfId="0" applyFont="1" applyFill="1"/>
    <xf numFmtId="0" fontId="8" fillId="2" borderId="16" xfId="0" applyFont="1" applyFill="1" applyBorder="1"/>
    <xf numFmtId="0" fontId="8" fillId="2" borderId="17" xfId="0" applyFont="1" applyFill="1" applyBorder="1"/>
    <xf numFmtId="0" fontId="8" fillId="0" borderId="17" xfId="0" applyFont="1" applyBorder="1"/>
    <xf numFmtId="0" fontId="8" fillId="2" borderId="18" xfId="0" applyFont="1" applyFill="1" applyBorder="1"/>
    <xf numFmtId="0" fontId="14" fillId="0" borderId="20" xfId="0" applyFont="1" applyBorder="1"/>
    <xf numFmtId="0" fontId="8" fillId="0" borderId="59" xfId="0" applyFont="1" applyBorder="1"/>
    <xf numFmtId="0" fontId="8" fillId="0" borderId="59" xfId="0" quotePrefix="1" applyFont="1" applyBorder="1"/>
    <xf numFmtId="0" fontId="8" fillId="0" borderId="21" xfId="0" applyFont="1" applyBorder="1"/>
    <xf numFmtId="0" fontId="8" fillId="0" borderId="14" xfId="0" applyFont="1" applyBorder="1"/>
    <xf numFmtId="0" fontId="8" fillId="0" borderId="22" xfId="0" applyFont="1" applyBorder="1"/>
    <xf numFmtId="0" fontId="21" fillId="5" borderId="0" xfId="0" applyFont="1" applyFill="1"/>
    <xf numFmtId="0" fontId="71" fillId="5" borderId="0" xfId="0" applyFont="1" applyFill="1"/>
    <xf numFmtId="0" fontId="7" fillId="0" borderId="18" xfId="0" applyFont="1" applyBorder="1"/>
    <xf numFmtId="0" fontId="0" fillId="0" borderId="53" xfId="0" applyBorder="1"/>
    <xf numFmtId="0" fontId="0" fillId="0" borderId="54" xfId="0" applyBorder="1"/>
    <xf numFmtId="0" fontId="0" fillId="6" borderId="27" xfId="0" applyFill="1" applyBorder="1"/>
    <xf numFmtId="0" fontId="0" fillId="6" borderId="34" xfId="0" applyFill="1" applyBorder="1"/>
    <xf numFmtId="0" fontId="0" fillId="6" borderId="30" xfId="0" applyFill="1" applyBorder="1" applyAlignment="1">
      <alignment horizontal="left"/>
    </xf>
    <xf numFmtId="0" fontId="0" fillId="6" borderId="59" xfId="0" applyFill="1" applyBorder="1"/>
    <xf numFmtId="0" fontId="0" fillId="4" borderId="14" xfId="0" applyFill="1" applyBorder="1"/>
    <xf numFmtId="0" fontId="7" fillId="5" borderId="16" xfId="0" applyFont="1" applyFill="1" applyBorder="1"/>
    <xf numFmtId="0" fontId="57" fillId="5" borderId="0" xfId="0" applyFont="1" applyFill="1"/>
    <xf numFmtId="0" fontId="5" fillId="0" borderId="19" xfId="0" applyFont="1" applyBorder="1" applyAlignment="1">
      <alignment horizontal="left"/>
    </xf>
    <xf numFmtId="0" fontId="41" fillId="0" borderId="61" xfId="0" applyFont="1" applyBorder="1"/>
    <xf numFmtId="0" fontId="52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0" fontId="42" fillId="0" borderId="0" xfId="0" applyFont="1" applyAlignment="1">
      <alignment horizontal="right"/>
    </xf>
    <xf numFmtId="0" fontId="54" fillId="4" borderId="61" xfId="0" applyFont="1" applyFill="1" applyBorder="1"/>
    <xf numFmtId="0" fontId="54" fillId="0" borderId="62" xfId="0" applyFont="1" applyBorder="1"/>
    <xf numFmtId="0" fontId="52" fillId="0" borderId="19" xfId="0" applyFont="1" applyBorder="1"/>
    <xf numFmtId="0" fontId="73" fillId="0" borderId="0" xfId="0" applyFont="1"/>
    <xf numFmtId="0" fontId="74" fillId="4" borderId="0" xfId="0" applyFont="1" applyFill="1"/>
    <xf numFmtId="0" fontId="47" fillId="4" borderId="61" xfId="0" applyFont="1" applyFill="1" applyBorder="1" applyAlignment="1">
      <alignment horizontal="left"/>
    </xf>
    <xf numFmtId="0" fontId="47" fillId="0" borderId="62" xfId="0" applyFont="1" applyBorder="1" applyAlignment="1">
      <alignment horizontal="right"/>
    </xf>
    <xf numFmtId="0" fontId="47" fillId="0" borderId="61" xfId="0" applyFont="1" applyBorder="1" applyAlignment="1">
      <alignment horizontal="left"/>
    </xf>
    <xf numFmtId="0" fontId="18" fillId="5" borderId="19" xfId="0" applyFont="1" applyFill="1" applyBorder="1"/>
    <xf numFmtId="0" fontId="54" fillId="4" borderId="0" xfId="0" applyFont="1" applyFill="1"/>
    <xf numFmtId="0" fontId="71" fillId="5" borderId="14" xfId="0" applyFont="1" applyFill="1" applyBorder="1"/>
    <xf numFmtId="16" fontId="27" fillId="4" borderId="5" xfId="0" applyNumberFormat="1" applyFont="1" applyFill="1" applyBorder="1"/>
    <xf numFmtId="0" fontId="21" fillId="0" borderId="6" xfId="0" applyFont="1" applyBorder="1" applyAlignment="1">
      <alignment horizontal="right"/>
    </xf>
    <xf numFmtId="0" fontId="27" fillId="4" borderId="6" xfId="0" applyFont="1" applyFill="1" applyBorder="1"/>
    <xf numFmtId="0" fontId="21" fillId="0" borderId="7" xfId="0" applyFont="1" applyBorder="1" applyAlignment="1">
      <alignment horizontal="right"/>
    </xf>
    <xf numFmtId="0" fontId="27" fillId="0" borderId="8" xfId="0" applyFont="1" applyBorder="1"/>
    <xf numFmtId="0" fontId="27" fillId="6" borderId="9" xfId="0" applyFont="1" applyFill="1" applyBorder="1"/>
    <xf numFmtId="0" fontId="27" fillId="0" borderId="9" xfId="0" applyFont="1" applyBorder="1"/>
    <xf numFmtId="0" fontId="27" fillId="0" borderId="10" xfId="0" applyFont="1" applyBorder="1"/>
    <xf numFmtId="0" fontId="21" fillId="0" borderId="11" xfId="0" applyFont="1" applyBorder="1"/>
    <xf numFmtId="0" fontId="27" fillId="0" borderId="11" xfId="0" applyFont="1" applyBorder="1"/>
    <xf numFmtId="0" fontId="21" fillId="0" borderId="12" xfId="0" applyFont="1" applyBorder="1" applyAlignment="1">
      <alignment horizontal="right"/>
    </xf>
    <xf numFmtId="4" fontId="48" fillId="0" borderId="14" xfId="0" quotePrefix="1" applyNumberFormat="1" applyFont="1" applyBorder="1" applyAlignment="1">
      <alignment horizontal="right"/>
    </xf>
    <xf numFmtId="0" fontId="48" fillId="4" borderId="17" xfId="0" applyFont="1" applyFill="1" applyBorder="1" applyAlignment="1">
      <alignment horizontal="right"/>
    </xf>
    <xf numFmtId="0" fontId="48" fillId="4" borderId="61" xfId="0" applyFont="1" applyFill="1" applyBorder="1"/>
    <xf numFmtId="0" fontId="48" fillId="0" borderId="62" xfId="0" applyFont="1" applyBorder="1"/>
    <xf numFmtId="4" fontId="48" fillId="0" borderId="0" xfId="0" quotePrefix="1" applyNumberFormat="1" applyFont="1" applyAlignment="1">
      <alignment horizontal="right"/>
    </xf>
    <xf numFmtId="0" fontId="45" fillId="0" borderId="61" xfId="0" applyFont="1" applyBorder="1"/>
    <xf numFmtId="0" fontId="45" fillId="0" borderId="17" xfId="0" applyFont="1" applyBorder="1"/>
    <xf numFmtId="0" fontId="40" fillId="0" borderId="62" xfId="0" applyFont="1" applyBorder="1"/>
    <xf numFmtId="0" fontId="45" fillId="0" borderId="19" xfId="0" applyFont="1" applyBorder="1"/>
    <xf numFmtId="0" fontId="45" fillId="0" borderId="0" xfId="0" quotePrefix="1" applyFont="1"/>
    <xf numFmtId="0" fontId="45" fillId="0" borderId="20" xfId="0" applyFont="1" applyBorder="1"/>
    <xf numFmtId="0" fontId="75" fillId="0" borderId="0" xfId="0" applyFont="1" applyAlignment="1">
      <alignment horizontal="right"/>
    </xf>
    <xf numFmtId="0" fontId="45" fillId="0" borderId="21" xfId="0" applyFont="1" applyBorder="1"/>
    <xf numFmtId="0" fontId="45" fillId="4" borderId="14" xfId="0" applyFont="1" applyFill="1" applyBorder="1"/>
    <xf numFmtId="0" fontId="45" fillId="0" borderId="22" xfId="0" applyFont="1" applyBorder="1"/>
    <xf numFmtId="0" fontId="40" fillId="0" borderId="0" xfId="0" applyFont="1" applyAlignment="1">
      <alignment horizontal="right"/>
    </xf>
    <xf numFmtId="0" fontId="47" fillId="0" borderId="14" xfId="0" applyFont="1" applyBorder="1" applyAlignment="1">
      <alignment horizontal="right"/>
    </xf>
    <xf numFmtId="0" fontId="63" fillId="4" borderId="20" xfId="0" applyFont="1" applyFill="1" applyBorder="1"/>
    <xf numFmtId="0" fontId="57" fillId="6" borderId="20" xfId="0" applyFont="1" applyFill="1" applyBorder="1"/>
    <xf numFmtId="0" fontId="47" fillId="6" borderId="0" xfId="0" applyFont="1" applyFill="1" applyAlignment="1">
      <alignment horizontal="right"/>
    </xf>
    <xf numFmtId="0" fontId="76" fillId="4" borderId="0" xfId="0" applyFont="1" applyFill="1"/>
    <xf numFmtId="0" fontId="19" fillId="0" borderId="19" xfId="0" applyFont="1" applyBorder="1"/>
    <xf numFmtId="0" fontId="19" fillId="0" borderId="21" xfId="0" applyFont="1" applyBorder="1"/>
    <xf numFmtId="0" fontId="19" fillId="0" borderId="61" xfId="0" applyFont="1" applyBorder="1"/>
    <xf numFmtId="0" fontId="77" fillId="0" borderId="17" xfId="0" applyFont="1" applyBorder="1"/>
    <xf numFmtId="0" fontId="77" fillId="0" borderId="62" xfId="0" applyFont="1" applyBorder="1"/>
    <xf numFmtId="0" fontId="77" fillId="0" borderId="0" xfId="0" applyFont="1"/>
    <xf numFmtId="0" fontId="77" fillId="0" borderId="20" xfId="0" applyFont="1" applyBorder="1"/>
    <xf numFmtId="0" fontId="77" fillId="0" borderId="14" xfId="0" applyFont="1" applyBorder="1"/>
    <xf numFmtId="0" fontId="77" fillId="0" borderId="22" xfId="0" applyFont="1" applyBorder="1"/>
    <xf numFmtId="0" fontId="19" fillId="5" borderId="19" xfId="0" applyFont="1" applyFill="1" applyBorder="1"/>
    <xf numFmtId="0" fontId="19" fillId="10" borderId="19" xfId="0" applyFont="1" applyFill="1" applyBorder="1"/>
    <xf numFmtId="0" fontId="57" fillId="4" borderId="62" xfId="0" applyFont="1" applyFill="1" applyBorder="1"/>
    <xf numFmtId="0" fontId="57" fillId="4" borderId="21" xfId="0" applyFont="1" applyFill="1" applyBorder="1"/>
    <xf numFmtId="0" fontId="57" fillId="4" borderId="22" xfId="0" applyFont="1" applyFill="1" applyBorder="1" applyAlignment="1">
      <alignment horizontal="right"/>
    </xf>
    <xf numFmtId="0" fontId="48" fillId="4" borderId="62" xfId="0" applyFont="1" applyFill="1" applyBorder="1" applyAlignment="1">
      <alignment horizontal="center"/>
    </xf>
    <xf numFmtId="0" fontId="48" fillId="0" borderId="0" xfId="0" quotePrefix="1" applyFont="1"/>
    <xf numFmtId="0" fontId="56" fillId="0" borderId="61" xfId="0" applyFont="1" applyBorder="1"/>
    <xf numFmtId="0" fontId="57" fillId="0" borderId="62" xfId="0" applyFont="1" applyBorder="1"/>
    <xf numFmtId="0" fontId="6" fillId="4" borderId="61" xfId="0" applyFont="1" applyFill="1" applyBorder="1"/>
    <xf numFmtId="0" fontId="0" fillId="10" borderId="19" xfId="0" applyFill="1" applyBorder="1"/>
    <xf numFmtId="0" fontId="0" fillId="10" borderId="20" xfId="0" applyFill="1" applyBorder="1"/>
    <xf numFmtId="0" fontId="57" fillId="0" borderId="0" xfId="0" applyFont="1"/>
    <xf numFmtId="0" fontId="57" fillId="4" borderId="0" xfId="0" applyFont="1" applyFill="1" applyAlignment="1">
      <alignment horizontal="right"/>
    </xf>
    <xf numFmtId="0" fontId="47" fillId="4" borderId="61" xfId="0" applyFont="1" applyFill="1" applyBorder="1"/>
    <xf numFmtId="0" fontId="47" fillId="0" borderId="62" xfId="0" applyFont="1" applyBorder="1"/>
    <xf numFmtId="0" fontId="27" fillId="0" borderId="21" xfId="0" applyFont="1" applyBorder="1" applyAlignment="1">
      <alignment horizontal="left"/>
    </xf>
    <xf numFmtId="0" fontId="47" fillId="4" borderId="5" xfId="0" applyFont="1" applyFill="1" applyBorder="1"/>
    <xf numFmtId="0" fontId="47" fillId="4" borderId="8" xfId="0" applyFont="1" applyFill="1" applyBorder="1"/>
    <xf numFmtId="0" fontId="48" fillId="0" borderId="7" xfId="0" applyFont="1" applyBorder="1"/>
    <xf numFmtId="0" fontId="47" fillId="0" borderId="8" xfId="0" applyFont="1" applyBorder="1"/>
    <xf numFmtId="0" fontId="48" fillId="0" borderId="9" xfId="0" applyFont="1" applyBorder="1"/>
    <xf numFmtId="0" fontId="48" fillId="0" borderId="8" xfId="0" applyFont="1" applyBorder="1"/>
    <xf numFmtId="0" fontId="47" fillId="0" borderId="9" xfId="0" applyFont="1" applyBorder="1"/>
    <xf numFmtId="0" fontId="48" fillId="0" borderId="10" xfId="0" applyFont="1" applyBorder="1"/>
    <xf numFmtId="0" fontId="48" fillId="0" borderId="12" xfId="0" applyFont="1" applyBorder="1" applyAlignment="1">
      <alignment horizontal="right"/>
    </xf>
    <xf numFmtId="0" fontId="48" fillId="0" borderId="9" xfId="0" applyFont="1" applyBorder="1" applyAlignment="1">
      <alignment horizontal="right"/>
    </xf>
    <xf numFmtId="0" fontId="78" fillId="0" borderId="62" xfId="0" applyFont="1" applyBorder="1" applyAlignment="1">
      <alignment horizontal="right"/>
    </xf>
    <xf numFmtId="0" fontId="78" fillId="0" borderId="0" xfId="0" applyFont="1" applyAlignment="1">
      <alignment horizontal="right"/>
    </xf>
    <xf numFmtId="0" fontId="52" fillId="0" borderId="0" xfId="0" applyFont="1"/>
    <xf numFmtId="0" fontId="41" fillId="0" borderId="59" xfId="0" applyFont="1" applyBorder="1"/>
    <xf numFmtId="0" fontId="3" fillId="6" borderId="59" xfId="0" applyFont="1" applyFill="1" applyBorder="1" applyAlignment="1">
      <alignment horizontal="left"/>
    </xf>
    <xf numFmtId="0" fontId="72" fillId="6" borderId="59" xfId="0" applyFont="1" applyFill="1" applyBorder="1" applyAlignment="1">
      <alignment horizontal="left"/>
    </xf>
    <xf numFmtId="0" fontId="52" fillId="6" borderId="59" xfId="0" applyFont="1" applyFill="1" applyBorder="1" applyAlignment="1">
      <alignment horizontal="left"/>
    </xf>
    <xf numFmtId="0" fontId="40" fillId="6" borderId="59" xfId="0" applyFont="1" applyFill="1" applyBorder="1" applyAlignment="1">
      <alignment horizontal="left"/>
    </xf>
    <xf numFmtId="0" fontId="79" fillId="6" borderId="59" xfId="0" applyFont="1" applyFill="1" applyBorder="1" applyAlignment="1">
      <alignment horizontal="left"/>
    </xf>
    <xf numFmtId="0" fontId="80" fillId="5" borderId="19" xfId="0" applyFont="1" applyFill="1" applyBorder="1"/>
    <xf numFmtId="0" fontId="81" fillId="6" borderId="59" xfId="0" applyFont="1" applyFill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6" borderId="59" xfId="0" applyFont="1" applyFill="1" applyBorder="1" applyAlignment="1">
      <alignment horizontal="left"/>
    </xf>
    <xf numFmtId="0" fontId="83" fillId="0" borderId="0" xfId="0" applyFont="1"/>
    <xf numFmtId="0" fontId="78" fillId="0" borderId="0" xfId="0" applyFont="1"/>
    <xf numFmtId="0" fontId="1" fillId="6" borderId="3" xfId="0" applyFont="1" applyFill="1" applyBorder="1" applyAlignment="1">
      <alignment horizontal="left"/>
    </xf>
    <xf numFmtId="0" fontId="1" fillId="6" borderId="59" xfId="0" applyFont="1" applyFill="1" applyBorder="1" applyAlignment="1">
      <alignment horizontal="left"/>
    </xf>
    <xf numFmtId="0" fontId="44" fillId="6" borderId="63" xfId="0" applyFont="1" applyFill="1" applyBorder="1" applyAlignment="1">
      <alignment horizontal="right" vertical="top" wrapText="1"/>
    </xf>
    <xf numFmtId="0" fontId="40" fillId="0" borderId="61" xfId="0" applyFont="1" applyBorder="1" applyAlignment="1">
      <alignment horizontal="left"/>
    </xf>
    <xf numFmtId="3" fontId="84" fillId="0" borderId="59" xfId="0" applyNumberFormat="1" applyFont="1" applyBorder="1"/>
    <xf numFmtId="0" fontId="40" fillId="0" borderId="58" xfId="0" applyFont="1" applyBorder="1"/>
    <xf numFmtId="3" fontId="0" fillId="0" borderId="58" xfId="0" applyNumberFormat="1" applyBorder="1"/>
    <xf numFmtId="0" fontId="47" fillId="0" borderId="0" xfId="0" applyFont="1" applyAlignment="1">
      <alignment horizontal="left"/>
    </xf>
    <xf numFmtId="0" fontId="53" fillId="0" borderId="0" xfId="0" applyFont="1"/>
    <xf numFmtId="0" fontId="48" fillId="0" borderId="0" xfId="0" applyFont="1" applyAlignment="1">
      <alignment horizontal="right"/>
    </xf>
    <xf numFmtId="0" fontId="49" fillId="0" borderId="0" xfId="0" applyFont="1"/>
    <xf numFmtId="0" fontId="46" fillId="4" borderId="61" xfId="0" applyFont="1" applyFill="1" applyBorder="1" applyAlignment="1">
      <alignment horizontal="right"/>
    </xf>
    <xf numFmtId="0" fontId="46" fillId="4" borderId="17" xfId="0" applyFont="1" applyFill="1" applyBorder="1"/>
    <xf numFmtId="0" fontId="41" fillId="4" borderId="20" xfId="0" applyFont="1" applyFill="1" applyBorder="1"/>
    <xf numFmtId="0" fontId="85" fillId="0" borderId="19" xfId="0" applyFont="1" applyBorder="1"/>
    <xf numFmtId="0" fontId="6" fillId="0" borderId="61" xfId="0" applyFont="1" applyBorder="1"/>
    <xf numFmtId="0" fontId="6" fillId="0" borderId="17" xfId="0" applyFont="1" applyBorder="1"/>
    <xf numFmtId="0" fontId="6" fillId="0" borderId="62" xfId="0" applyFont="1" applyBorder="1"/>
    <xf numFmtId="0" fontId="41" fillId="0" borderId="58" xfId="0" applyFont="1" applyBorder="1"/>
    <xf numFmtId="0" fontId="42" fillId="0" borderId="0" xfId="0" applyFont="1"/>
    <xf numFmtId="0" fontId="86" fillId="6" borderId="59" xfId="0" applyFont="1" applyFill="1" applyBorder="1" applyAlignment="1">
      <alignment horizontal="left"/>
    </xf>
    <xf numFmtId="0" fontId="86" fillId="0" borderId="0" xfId="0" applyFont="1" applyAlignment="1">
      <alignment horizontal="left"/>
    </xf>
    <xf numFmtId="0" fontId="86" fillId="0" borderId="0" xfId="0" applyFont="1"/>
    <xf numFmtId="0" fontId="68" fillId="0" borderId="19" xfId="0" applyFont="1" applyBorder="1"/>
    <xf numFmtId="0" fontId="18" fillId="0" borderId="19" xfId="0" applyFont="1" applyBorder="1"/>
    <xf numFmtId="0" fontId="68" fillId="0" borderId="20" xfId="0" applyFont="1" applyBorder="1"/>
    <xf numFmtId="0" fontId="72" fillId="0" borderId="0" xfId="0" applyFont="1" applyAlignment="1">
      <alignment horizontal="left"/>
    </xf>
    <xf numFmtId="0" fontId="82" fillId="0" borderId="0" xfId="0" applyFont="1"/>
    <xf numFmtId="0" fontId="5" fillId="0" borderId="0" xfId="0" applyFont="1" applyAlignment="1">
      <alignment horizontal="left"/>
    </xf>
    <xf numFmtId="0" fontId="4" fillId="6" borderId="0" xfId="0" applyFont="1" applyFill="1" applyAlignment="1">
      <alignment horizontal="left"/>
    </xf>
    <xf numFmtId="0" fontId="41" fillId="0" borderId="62" xfId="0" applyFont="1" applyBorder="1"/>
    <xf numFmtId="0" fontId="72" fillId="0" borderId="20" xfId="0" applyFont="1" applyBorder="1" applyAlignment="1">
      <alignment horizontal="left"/>
    </xf>
    <xf numFmtId="0" fontId="87" fillId="0" borderId="0" xfId="0" applyFont="1"/>
    <xf numFmtId="0" fontId="87" fillId="0" borderId="20" xfId="0" applyFont="1" applyBorder="1"/>
    <xf numFmtId="0" fontId="88" fillId="0" borderId="0" xfId="0" applyFont="1"/>
    <xf numFmtId="0" fontId="89" fillId="0" borderId="0" xfId="0" applyFont="1" applyAlignment="1">
      <alignment horizontal="left"/>
    </xf>
    <xf numFmtId="0" fontId="0" fillId="0" borderId="59" xfId="0" applyBorder="1"/>
    <xf numFmtId="0" fontId="18" fillId="6" borderId="59" xfId="0" applyFont="1" applyFill="1" applyBorder="1"/>
    <xf numFmtId="16" fontId="0" fillId="0" borderId="59" xfId="0" applyNumberFormat="1" applyBorder="1"/>
    <xf numFmtId="0" fontId="0" fillId="0" borderId="62" xfId="0" applyBorder="1"/>
    <xf numFmtId="0" fontId="91" fillId="0" borderId="19" xfId="0" applyFont="1" applyBorder="1"/>
    <xf numFmtId="0" fontId="93" fillId="0" borderId="21" xfId="0" applyFont="1" applyBorder="1"/>
    <xf numFmtId="0" fontId="94" fillId="0" borderId="14" xfId="0" applyFont="1" applyBorder="1"/>
    <xf numFmtId="0" fontId="92" fillId="0" borderId="20" xfId="0" applyFont="1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2" xfId="0" applyBorder="1" applyAlignment="1">
      <alignment horizontal="right"/>
    </xf>
    <xf numFmtId="0" fontId="90" fillId="0" borderId="0" xfId="0" applyFont="1"/>
    <xf numFmtId="0" fontId="95" fillId="0" borderId="20" xfId="0" applyFont="1" applyBorder="1"/>
    <xf numFmtId="0" fontId="0" fillId="4" borderId="18" xfId="0" applyFill="1" applyBorder="1"/>
    <xf numFmtId="0" fontId="0" fillId="4" borderId="20" xfId="0" applyFill="1" applyBorder="1"/>
    <xf numFmtId="0" fontId="0" fillId="4" borderId="16" xfId="0" applyFill="1" applyBorder="1"/>
    <xf numFmtId="0" fontId="0" fillId="4" borderId="19" xfId="0" applyFill="1" applyBorder="1"/>
    <xf numFmtId="0" fontId="22" fillId="0" borderId="0" xfId="0" applyFont="1"/>
  </cellXfs>
  <cellStyles count="19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5</xdr:col>
      <xdr:colOff>127000</xdr:colOff>
      <xdr:row>4</xdr:row>
      <xdr:rowOff>114300</xdr:rowOff>
    </xdr:to>
    <xdr:pic>
      <xdr:nvPicPr>
        <xdr:cNvPr id="3" name="Picture 2" descr="asc">
          <a:extLst>
            <a:ext uri="{FF2B5EF4-FFF2-40B4-BE49-F238E27FC236}">
              <a16:creationId xmlns:a16="http://schemas.microsoft.com/office/drawing/2014/main" id="{D0F89094-534E-33E9-7540-2FC9720F1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711200"/>
          <a:ext cx="1270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Adani_Wilmar" TargetMode="External"/><Relationship Id="rId13" Type="http://schemas.openxmlformats.org/officeDocument/2006/relationships/hyperlink" Target="https://en.wikipedia.org/wiki/Allcargo_Logistics" TargetMode="External"/><Relationship Id="rId18" Type="http://schemas.openxmlformats.org/officeDocument/2006/relationships/hyperlink" Target="https://en.wikipedia.org/wiki/Apollo_Tyres" TargetMode="External"/><Relationship Id="rId26" Type="http://schemas.openxmlformats.org/officeDocument/2006/relationships/drawing" Target="../drawings/drawing1.xml"/><Relationship Id="rId3" Type="http://schemas.openxmlformats.org/officeDocument/2006/relationships/hyperlink" Target="https://en.wikipedia.org/wiki/Action_Construction_Equipment" TargetMode="External"/><Relationship Id="rId21" Type="http://schemas.openxmlformats.org/officeDocument/2006/relationships/hyperlink" Target="https://en.wikipedia.org/wiki/Asian_Paints" TargetMode="External"/><Relationship Id="rId7" Type="http://schemas.openxmlformats.org/officeDocument/2006/relationships/hyperlink" Target="https://en.wikipedia.org/wiki/Adani_Power" TargetMode="External"/><Relationship Id="rId12" Type="http://schemas.openxmlformats.org/officeDocument/2006/relationships/hyperlink" Target="https://en.wikipedia.org/wiki/Alkem_Laboratories" TargetMode="External"/><Relationship Id="rId17" Type="http://schemas.openxmlformats.org/officeDocument/2006/relationships/hyperlink" Target="https://en.wikipedia.org/wiki/Apollo_Hospitals" TargetMode="External"/><Relationship Id="rId25" Type="http://schemas.openxmlformats.org/officeDocument/2006/relationships/hyperlink" Target="https://en.wikipedia.org/wiki/DMart" TargetMode="External"/><Relationship Id="rId2" Type="http://schemas.openxmlformats.org/officeDocument/2006/relationships/hyperlink" Target="https://en.wikipedia.org/wiki/Aavas_Financiers" TargetMode="External"/><Relationship Id="rId16" Type="http://schemas.openxmlformats.org/officeDocument/2006/relationships/hyperlink" Target="https://en.wikipedia.org/wiki/Angel_One_(company)" TargetMode="External"/><Relationship Id="rId20" Type="http://schemas.openxmlformats.org/officeDocument/2006/relationships/hyperlink" Target="https://en.wikipedia.org/wiki/Ashok_Leyland" TargetMode="External"/><Relationship Id="rId1" Type="http://schemas.openxmlformats.org/officeDocument/2006/relationships/hyperlink" Target="https://en.wikipedia.org/wiki/AU_Small_Finance_Bank" TargetMode="External"/><Relationship Id="rId6" Type="http://schemas.openxmlformats.org/officeDocument/2006/relationships/hyperlink" Target="https://en.wikipedia.org/wiki/Adani_Green_Energy" TargetMode="External"/><Relationship Id="rId11" Type="http://schemas.openxmlformats.org/officeDocument/2006/relationships/hyperlink" Target="https://en.wikipedia.org/wiki/Alembic_Pharmaceuticals" TargetMode="External"/><Relationship Id="rId24" Type="http://schemas.openxmlformats.org/officeDocument/2006/relationships/hyperlink" Target="https://en.wikipedia.org/wiki/Aurobindo_Pharma" TargetMode="External"/><Relationship Id="rId5" Type="http://schemas.openxmlformats.org/officeDocument/2006/relationships/hyperlink" Target="https://en.wikipedia.org/wiki/Adani_Enterprises" TargetMode="External"/><Relationship Id="rId15" Type="http://schemas.openxmlformats.org/officeDocument/2006/relationships/hyperlink" Target="https://en.wikipedia.org/wiki/Ambuja_Cements" TargetMode="External"/><Relationship Id="rId23" Type="http://schemas.openxmlformats.org/officeDocument/2006/relationships/hyperlink" Target="https://en.wikipedia.org/wiki/AstraZeneca" TargetMode="External"/><Relationship Id="rId10" Type="http://schemas.openxmlformats.org/officeDocument/2006/relationships/hyperlink" Target="https://en.wikipedia.org/wiki/Aditya_Birla_Fashion_and_Retail" TargetMode="External"/><Relationship Id="rId19" Type="http://schemas.openxmlformats.org/officeDocument/2006/relationships/hyperlink" Target="https://en.wikipedia.org/wiki/Asahi_India_Glass" TargetMode="External"/><Relationship Id="rId4" Type="http://schemas.openxmlformats.org/officeDocument/2006/relationships/hyperlink" Target="https://en.wikipedia.org/wiki/Adani_Energy_Solutions" TargetMode="External"/><Relationship Id="rId9" Type="http://schemas.openxmlformats.org/officeDocument/2006/relationships/hyperlink" Target="https://en.wikipedia.org/wiki/Aditya_Birla_Group" TargetMode="External"/><Relationship Id="rId14" Type="http://schemas.openxmlformats.org/officeDocument/2006/relationships/hyperlink" Target="https://en.wikipedia.org/wiki/Alok_Industries" TargetMode="External"/><Relationship Id="rId22" Type="http://schemas.openxmlformats.org/officeDocument/2006/relationships/hyperlink" Target="https://en.wikipedia.org/wiki/Aster_DM_Healthcare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O52"/>
  <sheetViews>
    <sheetView topLeftCell="X30" workbookViewId="0">
      <selection activeCell="AL54" sqref="AL54"/>
    </sheetView>
  </sheetViews>
  <sheetFormatPr baseColWidth="10" defaultColWidth="8.83203125" defaultRowHeight="19"/>
  <cols>
    <col min="1" max="6" width="8.83203125" style="6"/>
    <col min="7" max="7" width="26.83203125" style="6" bestFit="1" customWidth="1"/>
    <col min="8" max="9" width="8.83203125" style="6"/>
    <col min="10" max="10" width="26.83203125" style="6" bestFit="1" customWidth="1"/>
    <col min="11" max="11" width="9.33203125" style="6" bestFit="1" customWidth="1"/>
    <col min="12" max="12" width="8.83203125" style="6"/>
    <col min="13" max="13" width="27.6640625" style="6" bestFit="1" customWidth="1"/>
    <col min="14" max="15" width="8.83203125" style="6"/>
    <col min="16" max="16" width="16.33203125" style="6" bestFit="1" customWidth="1"/>
    <col min="17" max="18" width="8.83203125" style="6"/>
    <col min="19" max="19" width="20.5" style="6" bestFit="1" customWidth="1"/>
    <col min="20" max="21" width="8.83203125" style="6"/>
    <col min="22" max="22" width="10.83203125" style="6" bestFit="1" customWidth="1"/>
    <col min="23" max="24" width="8.83203125" style="6"/>
    <col min="25" max="25" width="20.5" style="6" bestFit="1" customWidth="1"/>
    <col min="26" max="27" width="8.83203125" style="6"/>
    <col min="28" max="28" width="20.83203125" style="6" bestFit="1" customWidth="1"/>
    <col min="29" max="16384" width="8.83203125" style="6"/>
  </cols>
  <sheetData>
    <row r="3" spans="2:41">
      <c r="B3" s="326">
        <v>2014</v>
      </c>
      <c r="D3" s="5" t="s">
        <v>0</v>
      </c>
      <c r="E3" s="13" t="s">
        <v>1</v>
      </c>
      <c r="G3" s="11" t="s">
        <v>2</v>
      </c>
      <c r="H3" s="91" t="s">
        <v>1</v>
      </c>
      <c r="J3" s="11" t="s">
        <v>3</v>
      </c>
      <c r="K3" s="91" t="s">
        <v>1</v>
      </c>
      <c r="M3" s="5" t="s">
        <v>4</v>
      </c>
      <c r="N3" s="13" t="s">
        <v>1</v>
      </c>
      <c r="P3" s="5" t="s">
        <v>5</v>
      </c>
      <c r="Q3" s="13" t="s">
        <v>1</v>
      </c>
      <c r="S3" s="5" t="s">
        <v>6</v>
      </c>
      <c r="T3" s="13" t="s">
        <v>1</v>
      </c>
      <c r="V3" s="11" t="s">
        <v>7</v>
      </c>
      <c r="W3" s="11" t="s">
        <v>1</v>
      </c>
      <c r="Y3" s="11" t="s">
        <v>8</v>
      </c>
      <c r="Z3" s="11" t="s">
        <v>1</v>
      </c>
      <c r="AB3" s="11" t="s">
        <v>9</v>
      </c>
      <c r="AC3" s="11" t="s">
        <v>1</v>
      </c>
    </row>
    <row r="4" spans="2:41">
      <c r="D4" s="7" t="s">
        <v>10</v>
      </c>
      <c r="E4" s="7">
        <v>54.87</v>
      </c>
      <c r="G4" s="7" t="s">
        <v>11</v>
      </c>
      <c r="H4" s="7">
        <v>654.44000000000005</v>
      </c>
      <c r="J4" s="7" t="s">
        <v>11</v>
      </c>
      <c r="K4" s="7">
        <v>754.13</v>
      </c>
      <c r="M4" s="7" t="s">
        <v>12</v>
      </c>
      <c r="N4" s="7">
        <v>640.04999999999995</v>
      </c>
      <c r="P4" s="7" t="s">
        <v>12</v>
      </c>
      <c r="Q4" s="7">
        <v>1167.77</v>
      </c>
      <c r="S4" s="7" t="s">
        <v>13</v>
      </c>
      <c r="T4" s="7">
        <v>200</v>
      </c>
      <c r="V4" s="7" t="s">
        <v>14</v>
      </c>
      <c r="W4" s="7">
        <v>283.89</v>
      </c>
      <c r="Y4" s="7" t="s">
        <v>15</v>
      </c>
      <c r="Z4" s="7">
        <v>396.69</v>
      </c>
      <c r="AB4" s="7" t="s">
        <v>16</v>
      </c>
      <c r="AC4" s="7">
        <v>371.81</v>
      </c>
    </row>
    <row r="5" spans="2:41">
      <c r="D5" s="7" t="s">
        <v>17</v>
      </c>
      <c r="E5" s="7">
        <v>40.71</v>
      </c>
      <c r="G5" s="7" t="s">
        <v>18</v>
      </c>
      <c r="H5" s="7">
        <v>68.33</v>
      </c>
      <c r="J5" s="7" t="s">
        <v>19</v>
      </c>
      <c r="K5" s="7">
        <v>260</v>
      </c>
      <c r="M5" s="7" t="s">
        <v>20</v>
      </c>
      <c r="N5" s="7">
        <v>436.21</v>
      </c>
      <c r="P5" s="7" t="s">
        <v>21</v>
      </c>
      <c r="Q5" s="7">
        <v>484</v>
      </c>
      <c r="S5" s="7" t="s">
        <v>22</v>
      </c>
      <c r="T5" s="7">
        <v>417.8</v>
      </c>
      <c r="V5" s="7" t="s">
        <v>23</v>
      </c>
      <c r="W5" s="7">
        <v>142.62</v>
      </c>
      <c r="Y5" s="7" t="s">
        <v>24</v>
      </c>
      <c r="Z5" s="7">
        <v>20.65</v>
      </c>
      <c r="AB5" s="7" t="s">
        <v>12</v>
      </c>
      <c r="AC5" s="7">
        <v>261.01</v>
      </c>
    </row>
    <row r="6" spans="2:41">
      <c r="D6" s="7"/>
      <c r="E6" s="7"/>
      <c r="G6" s="7" t="s">
        <v>25</v>
      </c>
      <c r="H6" s="7">
        <v>22.48</v>
      </c>
      <c r="J6" s="7" t="s">
        <v>12</v>
      </c>
      <c r="K6" s="7">
        <v>372.92</v>
      </c>
      <c r="M6" s="7" t="s">
        <v>26</v>
      </c>
      <c r="N6" s="7">
        <v>17.71</v>
      </c>
      <c r="P6" s="7"/>
      <c r="Q6" s="7"/>
      <c r="S6" s="7" t="s">
        <v>27</v>
      </c>
      <c r="T6" s="7">
        <v>69.099999999999994</v>
      </c>
      <c r="V6" s="7"/>
      <c r="W6" s="7"/>
      <c r="Y6" s="7" t="s">
        <v>12</v>
      </c>
      <c r="Z6" s="7">
        <v>109.64</v>
      </c>
      <c r="AB6" s="7" t="s">
        <v>28</v>
      </c>
      <c r="AC6" s="7">
        <v>940.46</v>
      </c>
    </row>
    <row r="7" spans="2:41">
      <c r="D7" s="7"/>
      <c r="E7" s="7"/>
      <c r="G7" s="7"/>
      <c r="H7" s="7"/>
      <c r="J7" s="7"/>
      <c r="K7" s="7"/>
      <c r="M7" s="7" t="s">
        <v>29</v>
      </c>
      <c r="N7" s="7">
        <v>148.44</v>
      </c>
      <c r="P7" s="7"/>
      <c r="Q7" s="7"/>
      <c r="S7" s="7" t="s">
        <v>12</v>
      </c>
      <c r="T7" s="7">
        <v>189.1</v>
      </c>
      <c r="V7" s="7"/>
      <c r="W7" s="7"/>
      <c r="Y7" s="7" t="s">
        <v>28</v>
      </c>
      <c r="Z7" s="7">
        <v>443.26</v>
      </c>
      <c r="AB7" s="7" t="s">
        <v>30</v>
      </c>
      <c r="AC7" s="7">
        <v>135.41999999999999</v>
      </c>
    </row>
    <row r="8" spans="2:41">
      <c r="D8" s="7"/>
      <c r="E8" s="7"/>
      <c r="G8" s="7"/>
      <c r="H8" s="7"/>
      <c r="J8" s="7"/>
      <c r="K8" s="7"/>
      <c r="M8" s="7"/>
      <c r="N8" s="7"/>
      <c r="P8" s="7"/>
      <c r="Q8" s="7"/>
      <c r="S8" s="7" t="s">
        <v>31</v>
      </c>
      <c r="T8" s="7">
        <v>17.75</v>
      </c>
      <c r="V8" s="7"/>
      <c r="W8" s="7"/>
      <c r="Y8" s="7"/>
      <c r="Z8" s="7"/>
      <c r="AB8" s="7"/>
      <c r="AC8" s="7"/>
    </row>
    <row r="9" spans="2:41">
      <c r="D9" s="7"/>
      <c r="E9" s="7"/>
      <c r="G9" s="7"/>
      <c r="H9" s="7"/>
      <c r="J9" s="7"/>
      <c r="K9" s="7"/>
      <c r="M9" s="7"/>
      <c r="N9" s="7"/>
      <c r="P9" s="7"/>
      <c r="Q9" s="7"/>
      <c r="S9" s="7" t="s">
        <v>32</v>
      </c>
      <c r="T9" s="7">
        <v>415.25</v>
      </c>
      <c r="V9" s="7"/>
      <c r="W9" s="7"/>
      <c r="Y9" s="7"/>
      <c r="Z9" s="7"/>
      <c r="AB9" s="7"/>
      <c r="AC9" s="7"/>
    </row>
    <row r="10" spans="2:41">
      <c r="D10" s="7"/>
      <c r="E10" s="7"/>
      <c r="G10" s="7"/>
      <c r="H10" s="7"/>
      <c r="J10" s="7"/>
      <c r="K10" s="7"/>
      <c r="M10" s="7"/>
      <c r="N10" s="7"/>
      <c r="P10" s="7"/>
      <c r="Q10" s="7"/>
      <c r="S10" s="7" t="s">
        <v>33</v>
      </c>
      <c r="T10" s="7">
        <v>412.77</v>
      </c>
      <c r="V10" s="7"/>
      <c r="W10" s="7"/>
      <c r="Y10" s="7"/>
      <c r="Z10" s="7"/>
      <c r="AB10" s="7"/>
      <c r="AC10" s="7"/>
    </row>
    <row r="11" spans="2:41">
      <c r="D11" s="7"/>
      <c r="E11" s="7"/>
      <c r="G11" s="7"/>
      <c r="H11" s="7"/>
      <c r="J11" s="7"/>
      <c r="K11" s="7"/>
      <c r="M11" s="7"/>
      <c r="N11" s="7"/>
      <c r="P11" s="7"/>
      <c r="Q11" s="7"/>
      <c r="S11" s="7"/>
      <c r="T11" s="7"/>
      <c r="V11" s="7"/>
      <c r="W11" s="7"/>
      <c r="Y11" s="7"/>
      <c r="Z11" s="7"/>
      <c r="AB11" s="7"/>
      <c r="AC11" s="7"/>
    </row>
    <row r="12" spans="2:41">
      <c r="D12" s="7"/>
      <c r="E12" s="7"/>
      <c r="G12" s="7"/>
      <c r="H12" s="7"/>
      <c r="J12" s="7"/>
      <c r="K12" s="7"/>
      <c r="M12" s="7"/>
      <c r="N12" s="7"/>
      <c r="P12" s="7"/>
      <c r="Q12" s="7"/>
      <c r="S12" s="7"/>
      <c r="T12" s="7"/>
      <c r="V12" s="7"/>
      <c r="W12" s="7"/>
      <c r="Y12" s="7"/>
      <c r="Z12" s="7"/>
      <c r="AB12" s="7"/>
      <c r="AC12" s="7"/>
    </row>
    <row r="13" spans="2:41">
      <c r="D13" s="7"/>
      <c r="E13" s="7"/>
      <c r="G13" s="7"/>
      <c r="H13" s="7"/>
      <c r="J13" s="7"/>
      <c r="K13" s="7"/>
      <c r="M13" s="7"/>
      <c r="N13" s="7"/>
      <c r="P13" s="7"/>
      <c r="Q13" s="7"/>
      <c r="S13" s="7"/>
      <c r="T13" s="7"/>
      <c r="V13" s="7"/>
      <c r="W13" s="7"/>
      <c r="Y13" s="7"/>
      <c r="Z13" s="7"/>
      <c r="AB13" s="7"/>
      <c r="AC13" s="7"/>
    </row>
    <row r="14" spans="2:41">
      <c r="D14" s="7"/>
      <c r="E14" s="7"/>
      <c r="G14" s="7"/>
      <c r="H14" s="7"/>
      <c r="J14" s="7"/>
      <c r="K14" s="7"/>
      <c r="M14" s="7"/>
      <c r="N14" s="7"/>
      <c r="P14" s="7"/>
      <c r="Q14" s="7"/>
      <c r="S14" s="7"/>
      <c r="T14" s="7"/>
      <c r="V14" s="7"/>
      <c r="W14" s="7"/>
      <c r="Y14" s="7"/>
      <c r="Z14" s="7"/>
      <c r="AB14" s="7"/>
      <c r="AC14" s="7"/>
    </row>
    <row r="15" spans="2:41">
      <c r="D15" s="7"/>
      <c r="E15" s="7"/>
      <c r="G15" s="7"/>
      <c r="H15" s="7"/>
      <c r="J15" s="7"/>
      <c r="K15" s="7"/>
      <c r="M15" s="7"/>
      <c r="N15" s="7"/>
      <c r="P15" s="7"/>
      <c r="Q15" s="7"/>
      <c r="S15" s="7"/>
      <c r="T15" s="7"/>
      <c r="V15" s="7"/>
      <c r="W15" s="7"/>
      <c r="Y15" s="7"/>
      <c r="Z15" s="7"/>
      <c r="AB15" s="7"/>
      <c r="AC15" s="7"/>
    </row>
    <row r="16" spans="2:41">
      <c r="D16" s="14" t="s">
        <v>34</v>
      </c>
      <c r="E16" s="15">
        <v>548.58000000000004</v>
      </c>
      <c r="G16" s="14" t="s">
        <v>34</v>
      </c>
      <c r="H16" s="15">
        <v>745.25</v>
      </c>
      <c r="J16" s="14" t="s">
        <v>34</v>
      </c>
      <c r="K16" s="15">
        <v>1387.05</v>
      </c>
      <c r="M16" s="14" t="s">
        <v>34</v>
      </c>
      <c r="N16" s="15">
        <v>1242.4100000000001</v>
      </c>
      <c r="P16" s="14" t="s">
        <v>34</v>
      </c>
      <c r="Q16" s="15">
        <v>1651.77</v>
      </c>
      <c r="S16" s="14" t="s">
        <v>34</v>
      </c>
      <c r="T16" s="15">
        <v>1721.77</v>
      </c>
      <c r="V16" s="7" t="s">
        <v>34</v>
      </c>
      <c r="W16" s="7">
        <v>426.51</v>
      </c>
      <c r="Y16" s="7" t="s">
        <v>34</v>
      </c>
      <c r="Z16" s="7">
        <v>970.24</v>
      </c>
      <c r="AB16" s="7" t="s">
        <v>34</v>
      </c>
      <c r="AC16" s="7">
        <v>1708.7</v>
      </c>
      <c r="AO16" s="330">
        <v>10402</v>
      </c>
    </row>
    <row r="21" spans="2:38">
      <c r="B21" s="326">
        <v>2015</v>
      </c>
      <c r="D21" s="11" t="s">
        <v>35</v>
      </c>
      <c r="E21" s="11" t="s">
        <v>1</v>
      </c>
      <c r="G21" s="11" t="s">
        <v>36</v>
      </c>
      <c r="H21" s="11" t="s">
        <v>1</v>
      </c>
      <c r="J21" s="11" t="s">
        <v>37</v>
      </c>
      <c r="K21" s="11" t="s">
        <v>1</v>
      </c>
      <c r="M21" s="11" t="s">
        <v>0</v>
      </c>
      <c r="N21" s="11" t="s">
        <v>1</v>
      </c>
      <c r="P21" s="11" t="s">
        <v>2</v>
      </c>
      <c r="Q21" s="11" t="s">
        <v>1</v>
      </c>
      <c r="S21" s="11" t="s">
        <v>3</v>
      </c>
      <c r="T21" s="11" t="s">
        <v>1</v>
      </c>
      <c r="V21" s="11" t="s">
        <v>4</v>
      </c>
      <c r="W21" s="11" t="s">
        <v>1</v>
      </c>
      <c r="Y21" s="11" t="s">
        <v>5</v>
      </c>
      <c r="Z21" s="11" t="s">
        <v>1</v>
      </c>
      <c r="AB21" s="11" t="s">
        <v>6</v>
      </c>
      <c r="AC21" s="11" t="s">
        <v>1</v>
      </c>
      <c r="AE21" s="5" t="s">
        <v>7</v>
      </c>
      <c r="AF21" s="5">
        <v>2015</v>
      </c>
      <c r="AH21" s="5" t="s">
        <v>8</v>
      </c>
      <c r="AI21" s="5">
        <v>2015</v>
      </c>
      <c r="AK21" s="5" t="s">
        <v>9</v>
      </c>
      <c r="AL21" s="5">
        <v>2015</v>
      </c>
    </row>
    <row r="22" spans="2:38">
      <c r="D22" s="7" t="s">
        <v>38</v>
      </c>
      <c r="E22" s="7">
        <v>355.43</v>
      </c>
      <c r="G22" s="7" t="s">
        <v>39</v>
      </c>
      <c r="H22" s="7">
        <v>443.48</v>
      </c>
      <c r="J22" s="7" t="s">
        <v>40</v>
      </c>
      <c r="K22" s="6">
        <v>438.73</v>
      </c>
      <c r="M22" s="6" t="s">
        <v>41</v>
      </c>
      <c r="N22" s="6">
        <v>456.91</v>
      </c>
      <c r="P22" s="6" t="s">
        <v>28</v>
      </c>
      <c r="Q22" s="6">
        <v>516.32000000000005</v>
      </c>
      <c r="S22" s="6" t="s">
        <v>42</v>
      </c>
      <c r="T22" s="6">
        <v>300</v>
      </c>
      <c r="V22" s="6" t="s">
        <v>28</v>
      </c>
      <c r="W22" s="6">
        <v>149.76</v>
      </c>
      <c r="Y22" s="6" t="s">
        <v>28</v>
      </c>
      <c r="Z22" s="6">
        <v>561.36</v>
      </c>
      <c r="AB22" s="6" t="s">
        <v>43</v>
      </c>
      <c r="AC22" s="6">
        <v>690</v>
      </c>
      <c r="AE22" s="6" t="s">
        <v>44</v>
      </c>
      <c r="AF22" s="6">
        <v>212</v>
      </c>
      <c r="AH22" s="6" t="s">
        <v>80</v>
      </c>
      <c r="AI22" s="6">
        <v>656.48</v>
      </c>
      <c r="AK22" s="6" t="s">
        <v>82</v>
      </c>
      <c r="AL22" s="6">
        <v>994</v>
      </c>
    </row>
    <row r="23" spans="2:38">
      <c r="D23" s="7" t="s">
        <v>12</v>
      </c>
      <c r="E23" s="7">
        <v>64.400000000000006</v>
      </c>
      <c r="G23" s="7" t="s">
        <v>12</v>
      </c>
      <c r="H23" s="7">
        <v>128.13</v>
      </c>
      <c r="J23" s="6" t="s">
        <v>28</v>
      </c>
      <c r="K23" s="6">
        <v>218.9</v>
      </c>
      <c r="M23" s="6" t="s">
        <v>28</v>
      </c>
      <c r="N23" s="6">
        <v>767.25</v>
      </c>
      <c r="P23" s="6" t="s">
        <v>45</v>
      </c>
      <c r="Q23" s="6">
        <v>100</v>
      </c>
      <c r="S23" s="6" t="s">
        <v>41</v>
      </c>
      <c r="T23" s="6">
        <v>450</v>
      </c>
      <c r="V23" s="6" t="s">
        <v>46</v>
      </c>
      <c r="W23" s="6">
        <v>58</v>
      </c>
      <c r="Y23" s="6" t="s">
        <v>46</v>
      </c>
      <c r="Z23" s="6">
        <v>111.77</v>
      </c>
      <c r="AB23" s="6" t="s">
        <v>28</v>
      </c>
      <c r="AC23" s="6">
        <v>1381</v>
      </c>
      <c r="AE23" s="6" t="s">
        <v>28</v>
      </c>
      <c r="AF23" s="6">
        <v>252</v>
      </c>
      <c r="AH23" s="6" t="s">
        <v>28</v>
      </c>
      <c r="AI23" s="6">
        <v>370.12</v>
      </c>
      <c r="AK23" s="6" t="s">
        <v>28</v>
      </c>
      <c r="AL23" s="6">
        <v>787.1</v>
      </c>
    </row>
    <row r="24" spans="2:38">
      <c r="D24" s="7" t="s">
        <v>28</v>
      </c>
      <c r="E24" s="7">
        <v>137.05000000000001</v>
      </c>
      <c r="G24" s="7" t="s">
        <v>28</v>
      </c>
      <c r="H24" s="7">
        <v>748.52</v>
      </c>
      <c r="J24" s="7" t="s">
        <v>12</v>
      </c>
      <c r="K24" s="6">
        <v>94.08</v>
      </c>
      <c r="M24" s="6" t="s">
        <v>46</v>
      </c>
      <c r="N24" s="6">
        <v>48.41</v>
      </c>
      <c r="S24" s="6" t="s">
        <v>28</v>
      </c>
      <c r="T24" s="6">
        <v>215.06</v>
      </c>
      <c r="V24" s="6" t="s">
        <v>47</v>
      </c>
      <c r="W24" s="6">
        <v>400</v>
      </c>
      <c r="Y24" s="6" t="s">
        <v>48</v>
      </c>
      <c r="Z24" s="6">
        <v>400</v>
      </c>
      <c r="AB24" s="6" t="s">
        <v>46</v>
      </c>
      <c r="AC24" s="6">
        <v>500</v>
      </c>
      <c r="AE24" s="6" t="s">
        <v>46</v>
      </c>
      <c r="AF24" s="6">
        <v>75.81</v>
      </c>
      <c r="AH24" s="6" t="s">
        <v>46</v>
      </c>
      <c r="AI24" s="6">
        <v>58.13</v>
      </c>
      <c r="AK24" s="6" t="s">
        <v>46</v>
      </c>
      <c r="AL24" s="6">
        <v>31.15</v>
      </c>
    </row>
    <row r="25" spans="2:38">
      <c r="D25" s="7" t="s">
        <v>30</v>
      </c>
      <c r="E25" s="7">
        <v>67.73</v>
      </c>
      <c r="G25" s="7" t="s">
        <v>49</v>
      </c>
      <c r="H25" s="7"/>
      <c r="J25" s="6" t="s">
        <v>50</v>
      </c>
      <c r="K25" s="6">
        <v>134.77000000000001</v>
      </c>
      <c r="S25" s="6" t="s">
        <v>46</v>
      </c>
      <c r="T25" s="6">
        <v>115</v>
      </c>
      <c r="AB25" s="6" t="s">
        <v>51</v>
      </c>
      <c r="AC25" s="6">
        <v>248</v>
      </c>
      <c r="AE25" s="6" t="s">
        <v>51</v>
      </c>
      <c r="AF25" s="6">
        <v>193</v>
      </c>
      <c r="AH25" s="6" t="s">
        <v>51</v>
      </c>
      <c r="AI25" s="6">
        <v>193</v>
      </c>
      <c r="AK25" s="6" t="s">
        <v>51</v>
      </c>
      <c r="AL25" s="6">
        <v>135.91999999999999</v>
      </c>
    </row>
    <row r="26" spans="2:38">
      <c r="D26" s="7" t="s">
        <v>28</v>
      </c>
      <c r="E26" s="7">
        <v>49.58</v>
      </c>
      <c r="G26" s="7" t="s">
        <v>28</v>
      </c>
      <c r="H26" s="7">
        <v>40.299999999999997</v>
      </c>
      <c r="S26" s="6" t="s">
        <v>52</v>
      </c>
      <c r="T26" s="6">
        <v>65</v>
      </c>
      <c r="AE26" s="6" t="s">
        <v>53</v>
      </c>
      <c r="AF26" s="6">
        <v>150</v>
      </c>
      <c r="AH26" s="6" t="s">
        <v>53</v>
      </c>
      <c r="AI26" s="6">
        <v>150</v>
      </c>
      <c r="AK26" s="6" t="s">
        <v>81</v>
      </c>
      <c r="AL26" s="6">
        <v>3000</v>
      </c>
    </row>
    <row r="27" spans="2:38">
      <c r="D27" s="7"/>
      <c r="E27" s="7"/>
      <c r="G27" s="7" t="s">
        <v>54</v>
      </c>
      <c r="H27" s="7">
        <v>200</v>
      </c>
      <c r="S27" s="6" t="s">
        <v>28</v>
      </c>
      <c r="T27" s="6">
        <v>7.53</v>
      </c>
      <c r="AH27" s="6" t="s">
        <v>83</v>
      </c>
      <c r="AI27" s="6">
        <v>200</v>
      </c>
    </row>
    <row r="28" spans="2:38">
      <c r="D28" s="7"/>
      <c r="E28" s="7"/>
      <c r="G28" s="7"/>
      <c r="H28" s="7"/>
    </row>
    <row r="29" spans="2:38">
      <c r="D29" s="7"/>
      <c r="E29" s="7"/>
      <c r="G29" s="7"/>
      <c r="H29" s="7"/>
    </row>
    <row r="30" spans="2:38">
      <c r="D30" s="7"/>
      <c r="E30" s="7"/>
      <c r="G30" s="7"/>
      <c r="H30" s="7"/>
    </row>
    <row r="31" spans="2:38">
      <c r="D31" s="7"/>
      <c r="E31" s="7"/>
      <c r="G31" s="7"/>
      <c r="H31" s="7"/>
    </row>
    <row r="32" spans="2:38">
      <c r="D32" s="7"/>
      <c r="E32" s="7"/>
      <c r="G32" s="7"/>
      <c r="H32" s="7"/>
    </row>
    <row r="33" spans="2:41">
      <c r="D33" s="7"/>
      <c r="E33" s="7"/>
      <c r="G33" s="7"/>
      <c r="H33" s="7"/>
    </row>
    <row r="34" spans="2:41">
      <c r="D34" s="7" t="s">
        <v>34</v>
      </c>
      <c r="E34" s="7">
        <v>674.19</v>
      </c>
      <c r="G34" s="7" t="s">
        <v>34</v>
      </c>
      <c r="H34" s="7">
        <v>1560.43</v>
      </c>
      <c r="J34" s="7" t="s">
        <v>34</v>
      </c>
      <c r="K34" s="7">
        <v>886.48</v>
      </c>
      <c r="M34" s="7" t="s">
        <v>34</v>
      </c>
      <c r="N34" s="7">
        <v>1272.57</v>
      </c>
      <c r="P34" s="7" t="s">
        <v>34</v>
      </c>
      <c r="Q34" s="7">
        <v>616.32000000000005</v>
      </c>
      <c r="S34" s="7" t="s">
        <v>34</v>
      </c>
      <c r="T34" s="7">
        <v>1152.5899999999999</v>
      </c>
      <c r="V34" s="7" t="s">
        <v>34</v>
      </c>
      <c r="W34" s="7">
        <v>607.76</v>
      </c>
      <c r="Y34" s="7" t="s">
        <v>34</v>
      </c>
      <c r="Z34" s="7">
        <v>1073.1300000000001</v>
      </c>
      <c r="AB34" s="7" t="s">
        <v>34</v>
      </c>
      <c r="AC34" s="7">
        <v>2819</v>
      </c>
      <c r="AE34" s="7" t="s">
        <v>34</v>
      </c>
      <c r="AF34" s="7">
        <v>882.81</v>
      </c>
      <c r="AH34" s="7" t="s">
        <v>34</v>
      </c>
      <c r="AI34" s="7">
        <v>1427.73</v>
      </c>
      <c r="AK34" s="7" t="s">
        <v>34</v>
      </c>
      <c r="AL34" s="7">
        <v>5448.17</v>
      </c>
      <c r="AO34" s="330">
        <v>18421</v>
      </c>
    </row>
    <row r="38" spans="2:41">
      <c r="B38" s="326">
        <v>2016</v>
      </c>
      <c r="D38" s="5" t="s">
        <v>35</v>
      </c>
      <c r="E38" s="5">
        <v>2016</v>
      </c>
      <c r="G38" s="5" t="s">
        <v>36</v>
      </c>
      <c r="H38" s="5">
        <v>2016</v>
      </c>
      <c r="J38" s="5" t="s">
        <v>37</v>
      </c>
      <c r="K38" s="5">
        <v>2016</v>
      </c>
      <c r="M38" s="5" t="s">
        <v>0</v>
      </c>
      <c r="N38" s="5">
        <v>2016</v>
      </c>
      <c r="P38" s="5" t="s">
        <v>2</v>
      </c>
      <c r="Q38" s="5">
        <v>2016</v>
      </c>
      <c r="S38" s="5" t="s">
        <v>3</v>
      </c>
      <c r="T38" s="5">
        <v>2016</v>
      </c>
      <c r="V38" s="5" t="s">
        <v>4</v>
      </c>
      <c r="W38" s="5">
        <v>2016</v>
      </c>
      <c r="Y38" s="5" t="s">
        <v>5</v>
      </c>
      <c r="Z38" s="5">
        <v>2016</v>
      </c>
      <c r="AB38" s="5" t="s">
        <v>6</v>
      </c>
      <c r="AC38" s="5">
        <v>2016</v>
      </c>
      <c r="AE38" s="5" t="s">
        <v>7</v>
      </c>
      <c r="AF38" s="5">
        <v>2016</v>
      </c>
      <c r="AH38" s="5" t="s">
        <v>8</v>
      </c>
      <c r="AI38" s="5">
        <v>2016</v>
      </c>
      <c r="AK38" s="5" t="s">
        <v>9</v>
      </c>
      <c r="AL38" s="5">
        <v>2016</v>
      </c>
    </row>
    <row r="39" spans="2:41">
      <c r="D39" s="6" t="s">
        <v>85</v>
      </c>
      <c r="E39" s="6">
        <v>288.36</v>
      </c>
      <c r="G39" s="6" t="s">
        <v>28</v>
      </c>
      <c r="H39" s="6">
        <v>517.45000000000005</v>
      </c>
      <c r="J39" s="6" t="s">
        <v>28</v>
      </c>
      <c r="K39" s="6">
        <v>1646.78</v>
      </c>
      <c r="M39" s="6" t="s">
        <v>28</v>
      </c>
      <c r="N39" s="6">
        <v>1406.22</v>
      </c>
      <c r="P39" s="6" t="s">
        <v>80</v>
      </c>
      <c r="Q39" s="6">
        <v>685.57</v>
      </c>
      <c r="S39" s="6" t="s">
        <v>80</v>
      </c>
      <c r="T39" s="6">
        <v>374.38</v>
      </c>
      <c r="V39" s="6" t="s">
        <v>80</v>
      </c>
      <c r="W39" s="6">
        <v>752.5</v>
      </c>
      <c r="Y39" s="6" t="s">
        <v>80</v>
      </c>
      <c r="Z39" s="6">
        <v>91.76</v>
      </c>
      <c r="AB39" s="6" t="s">
        <v>28</v>
      </c>
      <c r="AC39" s="6">
        <v>215.23</v>
      </c>
      <c r="AE39" s="6" t="s">
        <v>28</v>
      </c>
      <c r="AF39" s="6">
        <v>428.69</v>
      </c>
      <c r="AH39" s="6" t="s">
        <v>46</v>
      </c>
      <c r="AI39" s="6">
        <v>200</v>
      </c>
      <c r="AK39" s="6" t="s">
        <v>46</v>
      </c>
      <c r="AL39" s="6">
        <v>200</v>
      </c>
    </row>
    <row r="40" spans="2:41">
      <c r="D40" s="6" t="s">
        <v>28</v>
      </c>
      <c r="E40" s="6">
        <v>1299</v>
      </c>
      <c r="G40" s="6" t="s">
        <v>46</v>
      </c>
      <c r="H40" s="6">
        <v>20.010000000000002</v>
      </c>
      <c r="J40" s="6" t="s">
        <v>46</v>
      </c>
      <c r="K40" s="6">
        <v>13.68</v>
      </c>
      <c r="M40" s="6" t="s">
        <v>46</v>
      </c>
      <c r="N40" s="6">
        <v>276.10000000000002</v>
      </c>
      <c r="P40" s="6" t="s">
        <v>46</v>
      </c>
      <c r="Q40" s="6">
        <v>1766.37</v>
      </c>
      <c r="S40" s="6" t="s">
        <v>46</v>
      </c>
      <c r="T40" s="6">
        <v>49.15</v>
      </c>
      <c r="V40" s="6" t="s">
        <v>105</v>
      </c>
      <c r="W40" s="6">
        <v>210</v>
      </c>
      <c r="Y40" s="6" t="s">
        <v>28</v>
      </c>
      <c r="Z40" s="6">
        <v>559.64</v>
      </c>
      <c r="AB40" s="6" t="s">
        <v>112</v>
      </c>
      <c r="AC40" s="6">
        <v>1027.8800000000001</v>
      </c>
      <c r="AE40" s="6" t="s">
        <v>112</v>
      </c>
      <c r="AF40" s="6">
        <v>961.62</v>
      </c>
      <c r="AH40" s="6" t="s">
        <v>112</v>
      </c>
      <c r="AI40" s="6">
        <v>999.41</v>
      </c>
      <c r="AK40" s="6" t="s">
        <v>112</v>
      </c>
      <c r="AL40" s="6">
        <v>996.47</v>
      </c>
    </row>
    <row r="41" spans="2:41">
      <c r="D41" s="6" t="s">
        <v>46</v>
      </c>
      <c r="E41" s="6">
        <v>12.44</v>
      </c>
      <c r="G41" s="6" t="s">
        <v>80</v>
      </c>
      <c r="H41" s="6">
        <v>507.45</v>
      </c>
      <c r="J41" s="6" t="s">
        <v>80</v>
      </c>
      <c r="K41" s="6">
        <v>415.42</v>
      </c>
      <c r="M41" s="6" t="s">
        <v>91</v>
      </c>
      <c r="N41" s="6">
        <v>180</v>
      </c>
      <c r="P41" s="6" t="s">
        <v>28</v>
      </c>
      <c r="Q41" s="6">
        <v>646.16999999999996</v>
      </c>
      <c r="S41" s="6" t="s">
        <v>28</v>
      </c>
      <c r="T41" s="6">
        <v>223.26</v>
      </c>
      <c r="V41" s="6" t="s">
        <v>46</v>
      </c>
      <c r="W41" s="6">
        <v>11.34</v>
      </c>
      <c r="Y41" s="6" t="s">
        <v>46</v>
      </c>
      <c r="Z41" s="6">
        <v>161.07</v>
      </c>
      <c r="AB41" s="6" t="s">
        <v>97</v>
      </c>
      <c r="AC41" s="6">
        <v>419.93</v>
      </c>
      <c r="AE41" s="6" t="s">
        <v>46</v>
      </c>
      <c r="AF41" s="6">
        <v>271.37</v>
      </c>
      <c r="AH41" s="6" t="s">
        <v>28</v>
      </c>
      <c r="AI41" s="6">
        <v>52.98</v>
      </c>
      <c r="AK41" s="6" t="s">
        <v>28</v>
      </c>
      <c r="AL41" s="6">
        <v>143.07</v>
      </c>
    </row>
    <row r="42" spans="2:41">
      <c r="D42" s="6" t="s">
        <v>84</v>
      </c>
      <c r="E42" s="6">
        <v>185.49</v>
      </c>
      <c r="G42" s="6" t="s">
        <v>86</v>
      </c>
      <c r="H42" s="6">
        <v>20.85</v>
      </c>
      <c r="J42" s="6" t="s">
        <v>86</v>
      </c>
      <c r="K42" s="6">
        <v>64.03</v>
      </c>
      <c r="P42" s="6" t="s">
        <v>97</v>
      </c>
      <c r="Q42" s="6">
        <v>2319</v>
      </c>
      <c r="S42" s="6" t="s">
        <v>97</v>
      </c>
      <c r="T42" s="6">
        <v>384.13</v>
      </c>
      <c r="V42" s="6" t="s">
        <v>28</v>
      </c>
      <c r="W42" s="6">
        <v>678.42</v>
      </c>
      <c r="Y42" s="6" t="s">
        <v>97</v>
      </c>
      <c r="Z42" s="6">
        <v>1020.36</v>
      </c>
      <c r="AE42" s="6" t="s">
        <v>108</v>
      </c>
      <c r="AF42" s="6">
        <v>110.02</v>
      </c>
      <c r="AH42" s="6" t="s">
        <v>108</v>
      </c>
      <c r="AI42" s="6">
        <v>71.89</v>
      </c>
      <c r="AK42" s="6" t="s">
        <v>108</v>
      </c>
      <c r="AL42" s="6">
        <v>58.92</v>
      </c>
    </row>
    <row r="43" spans="2:41">
      <c r="D43" s="6" t="s">
        <v>83</v>
      </c>
      <c r="E43" s="6">
        <v>500</v>
      </c>
      <c r="S43" s="6" t="s">
        <v>80</v>
      </c>
      <c r="T43" s="6">
        <v>694.31</v>
      </c>
      <c r="Y43" s="6" t="s">
        <v>108</v>
      </c>
      <c r="Z43" s="6">
        <v>290</v>
      </c>
      <c r="AE43" s="6" t="s">
        <v>80</v>
      </c>
      <c r="AF43" s="6">
        <v>64.760000000000005</v>
      </c>
      <c r="AH43" s="6" t="s">
        <v>140</v>
      </c>
      <c r="AI43" s="6">
        <v>160</v>
      </c>
      <c r="AK43" s="6" t="s">
        <v>141</v>
      </c>
      <c r="AL43" s="6">
        <v>193.45</v>
      </c>
    </row>
    <row r="44" spans="2:41">
      <c r="Y44" s="6" t="s">
        <v>83</v>
      </c>
      <c r="Z44" s="6">
        <v>320</v>
      </c>
      <c r="AE44" s="6" t="s">
        <v>97</v>
      </c>
      <c r="AF44" s="6">
        <v>338.92</v>
      </c>
      <c r="AH44" s="6" t="s">
        <v>141</v>
      </c>
      <c r="AI44" s="6">
        <v>462.24</v>
      </c>
      <c r="AK44" s="6" t="s">
        <v>142</v>
      </c>
      <c r="AL44" s="6">
        <v>110</v>
      </c>
    </row>
    <row r="45" spans="2:41">
      <c r="Y45" s="6" t="s">
        <v>97</v>
      </c>
      <c r="Z45" s="6">
        <v>145.57</v>
      </c>
      <c r="AH45" s="6" t="s">
        <v>142</v>
      </c>
      <c r="AI45" s="6">
        <v>110</v>
      </c>
      <c r="AK45" s="6" t="s">
        <v>143</v>
      </c>
      <c r="AL45" s="6">
        <v>134.03</v>
      </c>
    </row>
    <row r="46" spans="2:41">
      <c r="AK46" s="6" t="s">
        <v>144</v>
      </c>
      <c r="AL46" s="6">
        <v>55</v>
      </c>
    </row>
    <row r="47" spans="2:41">
      <c r="AK47" s="6" t="s">
        <v>97</v>
      </c>
      <c r="AL47" s="6">
        <v>876.5</v>
      </c>
    </row>
    <row r="50" spans="4:41">
      <c r="D50" s="7" t="s">
        <v>34</v>
      </c>
      <c r="E50" s="7">
        <v>2285.29</v>
      </c>
      <c r="G50" s="7" t="s">
        <v>34</v>
      </c>
      <c r="H50" s="7">
        <v>1065.76</v>
      </c>
      <c r="J50" s="7" t="s">
        <v>34</v>
      </c>
      <c r="K50" s="7">
        <v>2139.91</v>
      </c>
      <c r="M50" s="7" t="s">
        <v>34</v>
      </c>
      <c r="N50" s="7">
        <v>1862.32</v>
      </c>
      <c r="P50" s="7" t="s">
        <v>34</v>
      </c>
      <c r="Q50" s="7">
        <v>5417.11</v>
      </c>
      <c r="S50" s="7" t="s">
        <v>34</v>
      </c>
      <c r="T50" s="7">
        <v>1725.23</v>
      </c>
      <c r="V50" s="7" t="s">
        <v>34</v>
      </c>
      <c r="W50" s="7">
        <v>1652.26</v>
      </c>
      <c r="Y50" s="7" t="s">
        <v>34</v>
      </c>
      <c r="Z50" s="7">
        <v>2588.4</v>
      </c>
      <c r="AB50" s="7" t="s">
        <v>34</v>
      </c>
      <c r="AC50" s="7">
        <v>1663.04</v>
      </c>
      <c r="AE50" s="7" t="s">
        <v>34</v>
      </c>
      <c r="AF50" s="7">
        <v>2175.38</v>
      </c>
      <c r="AH50" s="7" t="s">
        <v>34</v>
      </c>
      <c r="AI50" s="7">
        <v>2056.52</v>
      </c>
      <c r="AK50" s="7" t="s">
        <v>34</v>
      </c>
      <c r="AL50" s="7">
        <v>2767.44</v>
      </c>
      <c r="AO50" s="330">
        <v>27398</v>
      </c>
    </row>
    <row r="52" spans="4:41">
      <c r="AO52" s="353">
        <v>56221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BG64"/>
  <sheetViews>
    <sheetView topLeftCell="AT38" workbookViewId="0">
      <selection activeCell="D11" sqref="D11"/>
    </sheetView>
  </sheetViews>
  <sheetFormatPr baseColWidth="10" defaultColWidth="8.83203125" defaultRowHeight="19"/>
  <cols>
    <col min="1" max="1" width="8.83203125" style="9"/>
    <col min="2" max="2" width="17" style="9" bestFit="1" customWidth="1"/>
    <col min="3" max="3" width="8.83203125" style="9"/>
    <col min="4" max="4" width="6.6640625" style="9" bestFit="1" customWidth="1"/>
    <col min="5" max="5" width="18" style="9" bestFit="1" customWidth="1"/>
    <col min="6" max="6" width="8" style="9" bestFit="1" customWidth="1"/>
    <col min="7" max="7" width="8.83203125" style="9"/>
    <col min="8" max="8" width="12" style="9" bestFit="1" customWidth="1"/>
    <col min="9" max="9" width="17.5" style="9" customWidth="1"/>
    <col min="10" max="10" width="8.83203125" style="9"/>
    <col min="11" max="11" width="12.1640625" style="9" bestFit="1" customWidth="1"/>
    <col min="12" max="13" width="8.83203125" style="9"/>
    <col min="14" max="14" width="12.1640625" style="9" bestFit="1" customWidth="1"/>
    <col min="15" max="16" width="8.83203125" style="9"/>
    <col min="17" max="17" width="12.1640625" style="9" bestFit="1" customWidth="1"/>
    <col min="18" max="18" width="11.33203125" style="9" customWidth="1"/>
    <col min="19" max="19" width="8.83203125" style="9"/>
    <col min="20" max="20" width="19.5" style="9" customWidth="1"/>
    <col min="21" max="21" width="14.6640625" style="9" customWidth="1"/>
    <col min="22" max="22" width="12.6640625" style="9" customWidth="1"/>
    <col min="23" max="23" width="29.5" style="9" customWidth="1"/>
    <col min="24" max="24" width="18.5" style="9" customWidth="1"/>
    <col min="25" max="25" width="8.83203125" style="9"/>
    <col min="26" max="26" width="17.5" style="9" customWidth="1"/>
    <col min="27" max="27" width="13.5" style="9" customWidth="1"/>
    <col min="28" max="28" width="11.6640625" style="9" bestFit="1" customWidth="1"/>
    <col min="29" max="29" width="16.5" style="9" bestFit="1" customWidth="1"/>
    <col min="30" max="31" width="8.83203125" style="9"/>
    <col min="32" max="32" width="16.5" style="9" bestFit="1" customWidth="1"/>
    <col min="33" max="34" width="8.83203125" style="9"/>
    <col min="35" max="35" width="19.6640625" style="9" bestFit="1" customWidth="1"/>
    <col min="36" max="36" width="11.83203125" style="9" customWidth="1"/>
    <col min="37" max="49" width="8.83203125" style="9"/>
    <col min="50" max="50" width="16.5" style="9" bestFit="1" customWidth="1"/>
    <col min="51" max="54" width="8.83203125" style="9"/>
    <col min="55" max="55" width="14.6640625" style="9" bestFit="1" customWidth="1"/>
    <col min="56" max="56" width="8.83203125" style="9"/>
    <col min="57" max="57" width="8.1640625" style="9" bestFit="1" customWidth="1"/>
    <col min="58" max="58" width="11.6640625" style="9" bestFit="1" customWidth="1"/>
    <col min="59" max="59" width="10.6640625" style="9" bestFit="1" customWidth="1"/>
    <col min="60" max="16384" width="8.83203125" style="9"/>
  </cols>
  <sheetData>
    <row r="3" spans="2:36">
      <c r="B3" s="343" t="s">
        <v>35</v>
      </c>
      <c r="C3" s="344">
        <v>2017</v>
      </c>
      <c r="D3" s="345"/>
      <c r="E3" s="344" t="s">
        <v>36</v>
      </c>
      <c r="F3" s="344">
        <v>2017</v>
      </c>
      <c r="G3" s="345"/>
      <c r="H3" s="344" t="s">
        <v>37</v>
      </c>
      <c r="I3" s="344">
        <v>2017</v>
      </c>
      <c r="J3" s="345"/>
      <c r="K3" s="344" t="s">
        <v>0</v>
      </c>
      <c r="L3" s="344">
        <v>2017</v>
      </c>
      <c r="M3" s="345"/>
      <c r="N3" s="344" t="s">
        <v>2</v>
      </c>
      <c r="O3" s="344">
        <v>2017</v>
      </c>
      <c r="P3" s="345"/>
      <c r="Q3" s="344" t="s">
        <v>3</v>
      </c>
      <c r="R3" s="344">
        <v>2017</v>
      </c>
      <c r="S3" s="345"/>
      <c r="T3" s="344" t="s">
        <v>4</v>
      </c>
      <c r="U3" s="344">
        <v>2017</v>
      </c>
      <c r="V3" s="345"/>
      <c r="W3" s="344" t="s">
        <v>5</v>
      </c>
      <c r="X3" s="344">
        <v>2017</v>
      </c>
      <c r="Y3" s="345"/>
      <c r="Z3" s="344" t="s">
        <v>6</v>
      </c>
      <c r="AA3" s="344">
        <v>2017</v>
      </c>
      <c r="AB3" s="345"/>
      <c r="AC3" s="344" t="s">
        <v>7</v>
      </c>
      <c r="AD3" s="344">
        <v>2017</v>
      </c>
      <c r="AE3" s="345"/>
      <c r="AF3" s="344" t="s">
        <v>8</v>
      </c>
      <c r="AG3" s="344">
        <v>2017</v>
      </c>
      <c r="AH3" s="345"/>
      <c r="AI3" s="344" t="s">
        <v>9</v>
      </c>
      <c r="AJ3" s="346">
        <v>2017</v>
      </c>
    </row>
    <row r="4" spans="2:36">
      <c r="B4" s="300" t="s">
        <v>148</v>
      </c>
      <c r="C4" s="9">
        <v>995.36</v>
      </c>
      <c r="E4" s="9" t="s">
        <v>148</v>
      </c>
      <c r="F4" s="9">
        <v>992.64</v>
      </c>
      <c r="H4" s="9" t="s">
        <v>148</v>
      </c>
      <c r="I4" s="9">
        <v>992.18</v>
      </c>
      <c r="K4" s="9" t="s">
        <v>148</v>
      </c>
      <c r="L4" s="9">
        <v>992.72</v>
      </c>
      <c r="N4" s="9" t="s">
        <v>148</v>
      </c>
      <c r="O4" s="9">
        <v>994.37</v>
      </c>
      <c r="Q4" s="9" t="s">
        <v>148</v>
      </c>
      <c r="R4" s="9">
        <v>997.9</v>
      </c>
      <c r="T4" s="9" t="s">
        <v>148</v>
      </c>
      <c r="U4" s="9">
        <v>998.21</v>
      </c>
      <c r="W4" s="9" t="s">
        <v>148</v>
      </c>
      <c r="X4" s="9">
        <v>998.83</v>
      </c>
      <c r="Z4" s="9" t="s">
        <v>148</v>
      </c>
      <c r="AA4" s="9">
        <v>809</v>
      </c>
      <c r="AC4" s="9" t="s">
        <v>46</v>
      </c>
      <c r="AD4" s="9">
        <v>973.46</v>
      </c>
      <c r="AF4" s="9" t="s">
        <v>46</v>
      </c>
      <c r="AG4" s="16">
        <v>78.16</v>
      </c>
      <c r="AI4" s="9" t="s">
        <v>195</v>
      </c>
      <c r="AJ4" s="347">
        <v>240</v>
      </c>
    </row>
    <row r="5" spans="2:36">
      <c r="B5" s="300" t="s">
        <v>46</v>
      </c>
      <c r="C5" s="9">
        <v>200</v>
      </c>
      <c r="E5" s="9" t="s">
        <v>46</v>
      </c>
      <c r="F5" s="9">
        <v>200</v>
      </c>
      <c r="H5" s="9" t="s">
        <v>46</v>
      </c>
      <c r="I5" s="9">
        <v>200</v>
      </c>
      <c r="K5" s="9" t="s">
        <v>46</v>
      </c>
      <c r="L5" s="9">
        <v>200</v>
      </c>
      <c r="N5" s="9" t="s">
        <v>46</v>
      </c>
      <c r="O5" s="9">
        <v>200</v>
      </c>
      <c r="Q5" s="9" t="s">
        <v>46</v>
      </c>
      <c r="R5" s="9">
        <v>200</v>
      </c>
      <c r="T5" s="9" t="s">
        <v>194</v>
      </c>
      <c r="U5" s="9">
        <v>40</v>
      </c>
      <c r="W5" s="9" t="s">
        <v>155</v>
      </c>
      <c r="X5" s="9">
        <v>1.25</v>
      </c>
      <c r="Z5" s="9" t="s">
        <v>143</v>
      </c>
      <c r="AA5" s="9">
        <v>212.84</v>
      </c>
      <c r="AC5" s="9" t="s">
        <v>161</v>
      </c>
      <c r="AD5" s="9">
        <v>983.1</v>
      </c>
      <c r="AF5" s="9" t="s">
        <v>161</v>
      </c>
      <c r="AG5" s="9">
        <v>983.1</v>
      </c>
      <c r="AI5" s="9" t="s">
        <v>143</v>
      </c>
      <c r="AJ5" s="299">
        <v>1186.76</v>
      </c>
    </row>
    <row r="6" spans="2:36">
      <c r="B6" s="300" t="s">
        <v>28</v>
      </c>
      <c r="C6" s="9">
        <v>1241.01</v>
      </c>
      <c r="E6" s="9" t="s">
        <v>28</v>
      </c>
      <c r="F6" s="9">
        <v>355.49</v>
      </c>
      <c r="H6" s="9" t="s">
        <v>28</v>
      </c>
      <c r="I6" s="9">
        <v>128.44</v>
      </c>
      <c r="K6" s="9" t="s">
        <v>28</v>
      </c>
      <c r="L6" s="9">
        <v>649.86</v>
      </c>
      <c r="N6" s="9" t="s">
        <v>28</v>
      </c>
      <c r="O6" s="9">
        <v>130.55000000000001</v>
      </c>
      <c r="Q6" s="9" t="s">
        <v>28</v>
      </c>
      <c r="R6" s="9">
        <v>303.93</v>
      </c>
      <c r="T6" s="9" t="s">
        <v>155</v>
      </c>
      <c r="U6" s="9">
        <v>400</v>
      </c>
      <c r="W6" s="9" t="s">
        <v>108</v>
      </c>
      <c r="X6" s="9">
        <v>166.56</v>
      </c>
      <c r="Z6" s="9" t="s">
        <v>28</v>
      </c>
      <c r="AA6" s="9">
        <v>122.39</v>
      </c>
      <c r="AC6" s="9" t="s">
        <v>143</v>
      </c>
      <c r="AD6" s="9">
        <v>669.19</v>
      </c>
      <c r="AF6" s="9" t="s">
        <v>143</v>
      </c>
      <c r="AG6" s="9">
        <v>650.96</v>
      </c>
      <c r="AI6" s="9" t="s">
        <v>161</v>
      </c>
      <c r="AJ6" s="299">
        <v>983.1</v>
      </c>
    </row>
    <row r="7" spans="2:36">
      <c r="B7" s="300" t="s">
        <v>143</v>
      </c>
      <c r="C7" s="9">
        <v>200.31</v>
      </c>
      <c r="E7" s="9" t="s">
        <v>143</v>
      </c>
      <c r="F7" s="9">
        <v>149.43</v>
      </c>
      <c r="H7" s="9" t="s">
        <v>143</v>
      </c>
      <c r="I7" s="9">
        <v>149.88999999999999</v>
      </c>
      <c r="K7" s="9" t="s">
        <v>143</v>
      </c>
      <c r="L7" s="9">
        <v>195.82</v>
      </c>
      <c r="N7" s="9" t="s">
        <v>143</v>
      </c>
      <c r="O7" s="9">
        <v>351.86</v>
      </c>
      <c r="Q7" s="9" t="s">
        <v>143</v>
      </c>
      <c r="R7" s="9">
        <v>194.6</v>
      </c>
      <c r="T7" s="9" t="s">
        <v>28</v>
      </c>
      <c r="U7" s="9">
        <v>864.35</v>
      </c>
      <c r="W7" s="9" t="s">
        <v>28</v>
      </c>
      <c r="X7" s="9">
        <v>624.75</v>
      </c>
      <c r="Z7" s="9" t="s">
        <v>141</v>
      </c>
      <c r="AA7" s="9">
        <v>46.3</v>
      </c>
      <c r="AC7" s="9" t="s">
        <v>28</v>
      </c>
      <c r="AD7" s="9">
        <v>513.89</v>
      </c>
      <c r="AF7" s="9" t="s">
        <v>28</v>
      </c>
      <c r="AG7" s="9">
        <v>348.35</v>
      </c>
      <c r="AI7" s="9" t="s">
        <v>46</v>
      </c>
      <c r="AJ7" s="299">
        <v>339.92</v>
      </c>
    </row>
    <row r="8" spans="2:36">
      <c r="B8" s="300" t="s">
        <v>108</v>
      </c>
      <c r="C8" s="9">
        <v>94.39</v>
      </c>
      <c r="E8" s="9" t="s">
        <v>108</v>
      </c>
      <c r="F8" s="9">
        <v>94.05</v>
      </c>
      <c r="H8" s="9" t="s">
        <v>108</v>
      </c>
      <c r="I8" s="9">
        <v>64.069999999999993</v>
      </c>
      <c r="K8" s="9" t="s">
        <v>108</v>
      </c>
      <c r="L8" s="9">
        <v>74.08</v>
      </c>
      <c r="N8" s="9" t="s">
        <v>108</v>
      </c>
      <c r="O8" s="9">
        <v>74.14</v>
      </c>
      <c r="Q8" s="9" t="s">
        <v>108</v>
      </c>
      <c r="R8" s="9">
        <v>110.16</v>
      </c>
      <c r="T8" s="9" t="s">
        <v>143</v>
      </c>
      <c r="U8" s="9">
        <v>223.89</v>
      </c>
      <c r="W8" s="9" t="s">
        <v>143</v>
      </c>
      <c r="X8" s="9">
        <v>622.04999999999995</v>
      </c>
      <c r="Z8" s="9" t="s">
        <v>108</v>
      </c>
      <c r="AA8" s="9">
        <v>243.87</v>
      </c>
      <c r="AC8" s="9" t="s">
        <v>141</v>
      </c>
      <c r="AD8" s="9">
        <v>32.33</v>
      </c>
      <c r="AF8" s="9" t="s">
        <v>141</v>
      </c>
      <c r="AG8" s="9">
        <v>84.34</v>
      </c>
      <c r="AI8" s="9" t="s">
        <v>28</v>
      </c>
      <c r="AJ8" s="299">
        <v>221.2</v>
      </c>
    </row>
    <row r="9" spans="2:36">
      <c r="B9" s="300" t="s">
        <v>141</v>
      </c>
      <c r="C9" s="9">
        <v>19.88</v>
      </c>
      <c r="E9" s="9" t="s">
        <v>141</v>
      </c>
      <c r="F9" s="9">
        <v>101.91</v>
      </c>
      <c r="H9" s="9" t="s">
        <v>141</v>
      </c>
      <c r="I9" s="9">
        <v>84.97</v>
      </c>
      <c r="K9" s="9" t="s">
        <v>141</v>
      </c>
      <c r="L9" s="9">
        <v>123.71</v>
      </c>
      <c r="N9" s="9" t="s">
        <v>141</v>
      </c>
      <c r="O9" s="9">
        <v>346.53</v>
      </c>
      <c r="Q9" s="9" t="s">
        <v>141</v>
      </c>
      <c r="R9" s="9">
        <v>66.959999999999994</v>
      </c>
      <c r="T9" s="9" t="s">
        <v>141</v>
      </c>
      <c r="U9" s="9">
        <v>153.09</v>
      </c>
      <c r="W9" s="9" t="s">
        <v>141</v>
      </c>
      <c r="X9" s="9">
        <v>109.81</v>
      </c>
      <c r="Z9" s="9" t="s">
        <v>156</v>
      </c>
      <c r="AA9" s="9">
        <v>440.83</v>
      </c>
      <c r="AC9" s="9" t="s">
        <v>194</v>
      </c>
      <c r="AD9" s="9">
        <v>100</v>
      </c>
      <c r="AF9" s="9" t="s">
        <v>97</v>
      </c>
      <c r="AG9" s="9">
        <v>870.33</v>
      </c>
      <c r="AI9" s="9" t="s">
        <v>141</v>
      </c>
      <c r="AJ9" s="299">
        <v>78.12</v>
      </c>
    </row>
    <row r="10" spans="2:36">
      <c r="B10" s="300" t="s">
        <v>149</v>
      </c>
      <c r="C10" s="9">
        <v>110</v>
      </c>
      <c r="E10" s="9" t="s">
        <v>149</v>
      </c>
      <c r="F10" s="9">
        <v>110</v>
      </c>
      <c r="H10" s="9" t="s">
        <v>149</v>
      </c>
      <c r="I10" s="9">
        <v>110</v>
      </c>
      <c r="K10" s="9" t="s">
        <v>149</v>
      </c>
      <c r="L10" s="9">
        <v>110</v>
      </c>
      <c r="N10" s="9" t="s">
        <v>149</v>
      </c>
      <c r="O10" s="9">
        <v>110</v>
      </c>
      <c r="Q10" s="9" t="s">
        <v>149</v>
      </c>
      <c r="R10" s="9">
        <v>110</v>
      </c>
      <c r="T10" s="9" t="s">
        <v>108</v>
      </c>
      <c r="U10" s="9">
        <v>249.95</v>
      </c>
      <c r="W10" s="9" t="s">
        <v>157</v>
      </c>
      <c r="X10" s="9">
        <v>22</v>
      </c>
      <c r="Z10" s="9" t="s">
        <v>97</v>
      </c>
      <c r="AA10" s="9">
        <v>274.99</v>
      </c>
      <c r="AC10" s="9" t="s">
        <v>97</v>
      </c>
      <c r="AD10" s="9">
        <v>145.63999999999999</v>
      </c>
      <c r="AF10" s="9" t="s">
        <v>108</v>
      </c>
      <c r="AG10" s="9">
        <v>66.95</v>
      </c>
      <c r="AI10" s="9" t="s">
        <v>194</v>
      </c>
      <c r="AJ10" s="299">
        <v>60</v>
      </c>
    </row>
    <row r="11" spans="2:36">
      <c r="B11" s="300" t="s">
        <v>97</v>
      </c>
      <c r="C11" s="9">
        <v>372.2</v>
      </c>
      <c r="E11" s="9" t="s">
        <v>97</v>
      </c>
      <c r="F11" s="9">
        <v>235.56</v>
      </c>
      <c r="H11" s="9" t="s">
        <v>97</v>
      </c>
      <c r="I11" s="9">
        <v>864.45</v>
      </c>
      <c r="K11" s="9" t="s">
        <v>97</v>
      </c>
      <c r="L11" s="9">
        <v>385.79</v>
      </c>
      <c r="N11" s="9" t="s">
        <v>97</v>
      </c>
      <c r="O11" s="9">
        <v>281.14999999999998</v>
      </c>
      <c r="Q11" s="9" t="s">
        <v>97</v>
      </c>
      <c r="R11" s="9">
        <v>486.07</v>
      </c>
      <c r="T11" s="9" t="s">
        <v>194</v>
      </c>
      <c r="U11" s="9">
        <v>220</v>
      </c>
      <c r="W11" s="9" t="s">
        <v>158</v>
      </c>
      <c r="X11" s="9">
        <v>92.08</v>
      </c>
      <c r="AC11" s="9" t="s">
        <v>108</v>
      </c>
      <c r="AD11" s="9">
        <v>269.45999999999998</v>
      </c>
      <c r="AF11" s="9" t="s">
        <v>163</v>
      </c>
      <c r="AG11" s="9">
        <v>12.56</v>
      </c>
      <c r="AI11" s="9" t="s">
        <v>97</v>
      </c>
      <c r="AJ11" s="299">
        <v>880.92</v>
      </c>
    </row>
    <row r="12" spans="2:36">
      <c r="B12" s="300" t="s">
        <v>150</v>
      </c>
      <c r="C12" s="9">
        <v>3.71</v>
      </c>
      <c r="E12" s="9" t="s">
        <v>151</v>
      </c>
      <c r="F12" s="9">
        <v>472</v>
      </c>
      <c r="H12" s="9" t="s">
        <v>194</v>
      </c>
      <c r="I12" s="9">
        <v>100</v>
      </c>
      <c r="Q12" s="9" t="s">
        <v>154</v>
      </c>
      <c r="R12" s="9">
        <v>847.53</v>
      </c>
      <c r="T12" s="9" t="s">
        <v>149</v>
      </c>
      <c r="U12" s="9">
        <v>110</v>
      </c>
      <c r="W12" s="9" t="s">
        <v>97</v>
      </c>
      <c r="X12" s="9">
        <v>176.58</v>
      </c>
      <c r="AF12" s="9" t="s">
        <v>164</v>
      </c>
      <c r="AG12" s="9">
        <v>40</v>
      </c>
      <c r="AI12" s="9" t="s">
        <v>108</v>
      </c>
      <c r="AJ12" s="299">
        <v>78.19</v>
      </c>
    </row>
    <row r="13" spans="2:36">
      <c r="B13" s="300"/>
      <c r="T13" s="9" t="s">
        <v>97</v>
      </c>
      <c r="U13" s="9">
        <v>114.42</v>
      </c>
      <c r="W13" s="9" t="s">
        <v>158</v>
      </c>
      <c r="X13" s="9">
        <v>100</v>
      </c>
      <c r="AI13" s="9" t="s">
        <v>166</v>
      </c>
      <c r="AJ13" s="299">
        <v>19.5</v>
      </c>
    </row>
    <row r="14" spans="2:36">
      <c r="B14" s="300"/>
      <c r="W14" s="9" t="s">
        <v>149</v>
      </c>
      <c r="X14" s="9">
        <v>317.16000000000003</v>
      </c>
      <c r="AJ14" s="299"/>
    </row>
    <row r="15" spans="2:36">
      <c r="B15" s="348" t="s">
        <v>34</v>
      </c>
      <c r="W15" s="9" t="s">
        <v>159</v>
      </c>
      <c r="X15" s="9">
        <v>39.9</v>
      </c>
      <c r="AJ15" s="299"/>
    </row>
    <row r="16" spans="2:36">
      <c r="B16" s="300"/>
      <c r="W16" s="9" t="s">
        <v>160</v>
      </c>
      <c r="X16" s="9">
        <v>3.39</v>
      </c>
      <c r="AJ16" s="299"/>
    </row>
    <row r="17" spans="2:59">
      <c r="B17" s="300"/>
      <c r="AJ17" s="299"/>
    </row>
    <row r="18" spans="2:59">
      <c r="B18" s="300"/>
      <c r="AJ18" s="299"/>
      <c r="BG18" s="334">
        <v>33752</v>
      </c>
    </row>
    <row r="19" spans="2:59">
      <c r="B19" s="348">
        <v>3236.86</v>
      </c>
      <c r="D19" s="348" t="s">
        <v>34</v>
      </c>
      <c r="E19" s="348">
        <v>2711.08</v>
      </c>
      <c r="G19" s="348" t="s">
        <v>34</v>
      </c>
      <c r="H19" s="348">
        <v>2694</v>
      </c>
      <c r="J19" s="348" t="s">
        <v>34</v>
      </c>
      <c r="K19" s="348">
        <v>2731</v>
      </c>
      <c r="M19" s="348" t="s">
        <v>34</v>
      </c>
      <c r="N19" s="348">
        <v>2488.6</v>
      </c>
      <c r="P19" s="348" t="s">
        <v>34</v>
      </c>
      <c r="Q19" s="348">
        <v>3317.15</v>
      </c>
      <c r="S19" s="348" t="s">
        <v>34</v>
      </c>
      <c r="T19" s="348">
        <v>3373.91</v>
      </c>
      <c r="W19" s="348" t="s">
        <v>34</v>
      </c>
      <c r="X19" s="348">
        <v>3274.36</v>
      </c>
      <c r="Z19" s="348" t="s">
        <v>34</v>
      </c>
      <c r="AA19" s="348">
        <v>2150.2199999999998</v>
      </c>
      <c r="AC19" s="348" t="s">
        <v>34</v>
      </c>
      <c r="AD19" s="348">
        <v>3687.07</v>
      </c>
      <c r="AF19" s="348" t="s">
        <v>34</v>
      </c>
      <c r="AG19" s="349" t="s">
        <v>165</v>
      </c>
      <c r="AI19" s="348" t="s">
        <v>34</v>
      </c>
      <c r="AJ19" s="349">
        <v>4087.71</v>
      </c>
    </row>
    <row r="20" spans="2:59">
      <c r="B20" s="350"/>
      <c r="C20" s="351"/>
      <c r="D20" s="351"/>
      <c r="E20" s="351"/>
      <c r="F20" s="351"/>
      <c r="G20" s="351"/>
      <c r="H20" s="351"/>
      <c r="I20" s="351"/>
      <c r="J20" s="351"/>
      <c r="K20" s="351"/>
      <c r="L20" s="351"/>
      <c r="M20" s="351"/>
      <c r="N20" s="351"/>
      <c r="O20" s="351"/>
      <c r="P20" s="351"/>
      <c r="Q20" s="351"/>
      <c r="R20" s="351"/>
      <c r="S20" s="351"/>
      <c r="T20" s="351"/>
      <c r="U20" s="351"/>
      <c r="V20" s="351"/>
      <c r="W20" s="351"/>
      <c r="X20" s="351"/>
      <c r="Y20" s="351"/>
      <c r="Z20" s="351"/>
      <c r="AA20" s="351"/>
      <c r="AB20" s="351"/>
      <c r="AC20" s="351"/>
      <c r="AD20" s="351"/>
      <c r="AE20" s="351"/>
      <c r="AF20" s="351"/>
      <c r="AG20" s="351"/>
      <c r="AH20" s="351"/>
      <c r="AI20" s="351"/>
      <c r="AJ20" s="352"/>
    </row>
    <row r="23" spans="2:59">
      <c r="B23" s="8" t="s">
        <v>35</v>
      </c>
      <c r="C23" s="8">
        <v>2018</v>
      </c>
      <c r="D23"/>
      <c r="E23" s="8" t="s">
        <v>36</v>
      </c>
      <c r="F23" s="8">
        <v>2018</v>
      </c>
      <c r="G23"/>
      <c r="H23" s="8" t="s">
        <v>37</v>
      </c>
      <c r="I23" s="8">
        <v>2018</v>
      </c>
      <c r="J23"/>
      <c r="K23" s="8" t="s">
        <v>0</v>
      </c>
      <c r="L23" s="8">
        <v>2018</v>
      </c>
      <c r="M23"/>
      <c r="N23" s="8" t="s">
        <v>2</v>
      </c>
      <c r="O23" s="8">
        <v>2018</v>
      </c>
      <c r="P23"/>
      <c r="Q23" s="8" t="s">
        <v>3</v>
      </c>
      <c r="R23" s="8">
        <v>2018</v>
      </c>
      <c r="S23"/>
      <c r="T23" s="8" t="s">
        <v>4</v>
      </c>
      <c r="U23" s="8">
        <v>2018</v>
      </c>
      <c r="V23"/>
      <c r="W23" s="8" t="s">
        <v>5</v>
      </c>
      <c r="X23" s="8">
        <v>2018</v>
      </c>
      <c r="Y23"/>
      <c r="Z23" s="8" t="s">
        <v>6</v>
      </c>
      <c r="AA23" s="8">
        <v>2018</v>
      </c>
      <c r="AB23"/>
      <c r="AC23" s="8" t="s">
        <v>7</v>
      </c>
      <c r="AD23" s="8">
        <v>2018</v>
      </c>
      <c r="AE23"/>
      <c r="AF23" s="23" t="s">
        <v>8</v>
      </c>
      <c r="AG23" s="23">
        <v>2018</v>
      </c>
      <c r="AH23"/>
      <c r="AI23" s="23" t="s">
        <v>9</v>
      </c>
      <c r="AJ23" s="23">
        <v>2018</v>
      </c>
    </row>
    <row r="24" spans="2:59">
      <c r="B24" s="9" t="s">
        <v>144</v>
      </c>
      <c r="C24" s="16">
        <v>60</v>
      </c>
      <c r="D24"/>
      <c r="E24" s="9" t="s">
        <v>161</v>
      </c>
      <c r="F24">
        <v>983.1</v>
      </c>
      <c r="G24"/>
      <c r="H24" s="9" t="s">
        <v>161</v>
      </c>
      <c r="I24">
        <v>983.1</v>
      </c>
      <c r="J24"/>
      <c r="K24" s="9" t="s">
        <v>208</v>
      </c>
      <c r="L24">
        <v>620</v>
      </c>
      <c r="M24"/>
      <c r="N24" s="9" t="s">
        <v>46</v>
      </c>
      <c r="O24" s="16">
        <v>119.78</v>
      </c>
      <c r="P24"/>
      <c r="Q24" s="9" t="s">
        <v>191</v>
      </c>
      <c r="R24" s="16">
        <v>983.1</v>
      </c>
      <c r="S24"/>
      <c r="T24" s="9" t="s">
        <v>191</v>
      </c>
      <c r="U24" s="16">
        <v>983.1</v>
      </c>
      <c r="V24"/>
      <c r="W24" s="9" t="s">
        <v>191</v>
      </c>
      <c r="X24" s="16">
        <v>983.1</v>
      </c>
      <c r="Y24"/>
      <c r="Z24" s="9" t="s">
        <v>191</v>
      </c>
      <c r="AA24" s="16">
        <v>993.33</v>
      </c>
      <c r="AB24"/>
      <c r="AC24" s="9" t="s">
        <v>191</v>
      </c>
      <c r="AD24" s="16">
        <v>1011.75</v>
      </c>
      <c r="AE24"/>
      <c r="AF24" t="s">
        <v>191</v>
      </c>
      <c r="AG24">
        <v>1011.75</v>
      </c>
      <c r="AH24"/>
      <c r="AI24" t="s">
        <v>191</v>
      </c>
      <c r="AJ24">
        <v>1011.75</v>
      </c>
    </row>
    <row r="25" spans="2:59">
      <c r="B25" s="9" t="s">
        <v>46</v>
      </c>
      <c r="C25" s="9">
        <v>44.12</v>
      </c>
      <c r="D25"/>
      <c r="E25" t="s">
        <v>141</v>
      </c>
      <c r="F25">
        <v>132.93</v>
      </c>
      <c r="G25"/>
      <c r="H25" t="s">
        <v>141</v>
      </c>
      <c r="I25">
        <v>13.76</v>
      </c>
      <c r="J25"/>
      <c r="K25" t="s">
        <v>161</v>
      </c>
      <c r="L25">
        <v>983.1</v>
      </c>
      <c r="M25"/>
      <c r="N25" t="s">
        <v>161</v>
      </c>
      <c r="O25">
        <v>983.1</v>
      </c>
      <c r="P25"/>
      <c r="Q25" t="s">
        <v>143</v>
      </c>
      <c r="R25">
        <v>213.48</v>
      </c>
      <c r="S25"/>
      <c r="T25" t="s">
        <v>141</v>
      </c>
      <c r="U25">
        <v>215.8</v>
      </c>
      <c r="V25"/>
      <c r="W25" t="s">
        <v>198</v>
      </c>
      <c r="X25">
        <v>21.36</v>
      </c>
      <c r="Y25"/>
      <c r="Z25" t="s">
        <v>143</v>
      </c>
      <c r="AA25">
        <v>245.38</v>
      </c>
      <c r="AB25"/>
      <c r="AC25" t="s">
        <v>143</v>
      </c>
      <c r="AD25">
        <v>144.96</v>
      </c>
      <c r="AE25"/>
      <c r="AF25" t="s">
        <v>155</v>
      </c>
      <c r="AG25">
        <v>43.27</v>
      </c>
      <c r="AH25"/>
      <c r="AI25" t="s">
        <v>143</v>
      </c>
      <c r="AJ25">
        <v>25</v>
      </c>
    </row>
    <row r="26" spans="2:59">
      <c r="B26" s="9" t="s">
        <v>161</v>
      </c>
      <c r="C26" s="9">
        <v>983.1</v>
      </c>
      <c r="D26"/>
      <c r="E26" t="s">
        <v>143</v>
      </c>
      <c r="F26">
        <v>120.71</v>
      </c>
      <c r="G26"/>
      <c r="H26" t="s">
        <v>143</v>
      </c>
      <c r="I26">
        <v>87.03</v>
      </c>
      <c r="J26"/>
      <c r="K26" t="s">
        <v>46</v>
      </c>
      <c r="L26">
        <v>19.95</v>
      </c>
      <c r="M26"/>
      <c r="N26" t="s">
        <v>143</v>
      </c>
      <c r="O26">
        <v>59.77</v>
      </c>
      <c r="P26"/>
      <c r="Q26" t="s">
        <v>141</v>
      </c>
      <c r="R26">
        <v>47.96</v>
      </c>
      <c r="S26"/>
      <c r="T26" t="s">
        <v>143</v>
      </c>
      <c r="U26">
        <v>123.36</v>
      </c>
      <c r="V26"/>
      <c r="W26" t="s">
        <v>155</v>
      </c>
      <c r="X26">
        <v>0.78</v>
      </c>
      <c r="Y26"/>
      <c r="Z26" t="s">
        <v>141</v>
      </c>
      <c r="AA26">
        <v>23.37</v>
      </c>
      <c r="AB26"/>
      <c r="AC26" t="s">
        <v>141</v>
      </c>
      <c r="AD26">
        <v>17.96</v>
      </c>
      <c r="AE26"/>
      <c r="AF26" t="s">
        <v>141</v>
      </c>
      <c r="AG26">
        <v>232.07</v>
      </c>
      <c r="AH26"/>
      <c r="AI26" t="s">
        <v>200</v>
      </c>
      <c r="AJ26">
        <v>27</v>
      </c>
    </row>
    <row r="27" spans="2:59">
      <c r="B27" s="9" t="s">
        <v>28</v>
      </c>
      <c r="C27" s="9">
        <v>839.81</v>
      </c>
      <c r="D27"/>
      <c r="E27" t="s">
        <v>28</v>
      </c>
      <c r="F27">
        <v>0.2</v>
      </c>
      <c r="G27"/>
      <c r="H27" t="s">
        <v>28</v>
      </c>
      <c r="I27">
        <v>3.8</v>
      </c>
      <c r="J27"/>
      <c r="K27" t="s">
        <v>143</v>
      </c>
      <c r="L27">
        <v>33.46</v>
      </c>
      <c r="M27"/>
      <c r="N27" t="s">
        <v>141</v>
      </c>
      <c r="O27">
        <v>42.28</v>
      </c>
      <c r="P27"/>
      <c r="Q27" t="s">
        <v>28</v>
      </c>
      <c r="R27">
        <v>22.9</v>
      </c>
      <c r="S27"/>
      <c r="T27" t="s">
        <v>108</v>
      </c>
      <c r="U27">
        <v>20.27</v>
      </c>
      <c r="V27"/>
      <c r="W27" t="s">
        <v>28</v>
      </c>
      <c r="X27">
        <v>179.42</v>
      </c>
      <c r="Y27"/>
      <c r="Z27" t="s">
        <v>155</v>
      </c>
      <c r="AA27">
        <v>16.989999999999998</v>
      </c>
      <c r="AB27"/>
      <c r="AC27" t="s">
        <v>155</v>
      </c>
      <c r="AD27">
        <v>402.99</v>
      </c>
      <c r="AE27"/>
      <c r="AF27" t="s">
        <v>28</v>
      </c>
      <c r="AG27">
        <v>99.01</v>
      </c>
      <c r="AH27"/>
      <c r="AI27" t="s">
        <v>28</v>
      </c>
      <c r="AJ27">
        <v>279.67</v>
      </c>
    </row>
    <row r="28" spans="2:59">
      <c r="B28" s="9" t="s">
        <v>207</v>
      </c>
      <c r="C28" s="9">
        <v>10</v>
      </c>
      <c r="D28"/>
      <c r="E28" t="s">
        <v>173</v>
      </c>
      <c r="F28">
        <v>200</v>
      </c>
      <c r="G28"/>
      <c r="H28" t="s">
        <v>108</v>
      </c>
      <c r="I28">
        <v>33.200000000000003</v>
      </c>
      <c r="J28"/>
      <c r="K28" t="s">
        <v>28</v>
      </c>
      <c r="L28">
        <v>27.54</v>
      </c>
      <c r="M28"/>
      <c r="N28" t="s">
        <v>28</v>
      </c>
      <c r="O28">
        <v>17.72</v>
      </c>
      <c r="P28"/>
      <c r="Q28" t="s">
        <v>97</v>
      </c>
      <c r="R28">
        <v>59.99</v>
      </c>
      <c r="S28"/>
      <c r="T28" t="s">
        <v>28</v>
      </c>
      <c r="U28">
        <v>602.5</v>
      </c>
      <c r="V28"/>
      <c r="W28" t="s">
        <v>143</v>
      </c>
      <c r="X28">
        <v>139.53</v>
      </c>
      <c r="Y28"/>
      <c r="Z28" t="s">
        <v>28</v>
      </c>
      <c r="AA28">
        <v>31.87</v>
      </c>
      <c r="AB28"/>
      <c r="AC28" t="s">
        <v>28</v>
      </c>
      <c r="AD28">
        <v>169.41</v>
      </c>
      <c r="AE28"/>
      <c r="AF28" t="s">
        <v>143</v>
      </c>
      <c r="AG28">
        <v>44.24</v>
      </c>
      <c r="AH28"/>
      <c r="AI28" t="s">
        <v>141</v>
      </c>
      <c r="AJ28">
        <v>120.34</v>
      </c>
    </row>
    <row r="29" spans="2:59">
      <c r="B29" s="9" t="s">
        <v>143</v>
      </c>
      <c r="C29" s="9">
        <v>162.44</v>
      </c>
      <c r="D29"/>
      <c r="E29" t="s">
        <v>108</v>
      </c>
      <c r="F29">
        <v>95.96</v>
      </c>
      <c r="G29"/>
      <c r="H29" t="s">
        <v>97</v>
      </c>
      <c r="I29">
        <v>459.85</v>
      </c>
      <c r="J29"/>
      <c r="K29" t="s">
        <v>141</v>
      </c>
      <c r="L29">
        <v>0.14000000000000001</v>
      </c>
      <c r="M29"/>
      <c r="N29" t="s">
        <v>97</v>
      </c>
      <c r="O29">
        <v>130.84</v>
      </c>
      <c r="P29"/>
      <c r="Q29" t="s">
        <v>108</v>
      </c>
      <c r="R29">
        <v>83.98</v>
      </c>
      <c r="S29"/>
      <c r="T29" t="s">
        <v>200</v>
      </c>
      <c r="U29">
        <v>16</v>
      </c>
      <c r="V29"/>
      <c r="W29" t="s">
        <v>141</v>
      </c>
      <c r="X29">
        <v>41.74</v>
      </c>
      <c r="Y29"/>
      <c r="Z29" t="s">
        <v>108</v>
      </c>
      <c r="AA29">
        <v>91.76</v>
      </c>
      <c r="AB29"/>
      <c r="AC29" t="s">
        <v>108</v>
      </c>
      <c r="AD29">
        <v>92.92</v>
      </c>
      <c r="AE29"/>
      <c r="AF29" t="s">
        <v>204</v>
      </c>
      <c r="AG29">
        <v>23.18</v>
      </c>
      <c r="AH29"/>
      <c r="AI29" t="s">
        <v>108</v>
      </c>
      <c r="AJ29">
        <v>62.41</v>
      </c>
    </row>
    <row r="30" spans="2:59">
      <c r="B30" s="9" t="s">
        <v>141</v>
      </c>
      <c r="C30" s="9">
        <v>25</v>
      </c>
      <c r="D30"/>
      <c r="E30" t="s">
        <v>97</v>
      </c>
      <c r="F30">
        <v>1317.95</v>
      </c>
      <c r="G30"/>
      <c r="H30" t="s">
        <v>186</v>
      </c>
      <c r="I30">
        <v>3000</v>
      </c>
      <c r="J30"/>
      <c r="K30" t="s">
        <v>206</v>
      </c>
      <c r="L30">
        <v>7.76</v>
      </c>
      <c r="M30"/>
      <c r="N30" t="s">
        <v>108</v>
      </c>
      <c r="O30">
        <v>70.290000000000006</v>
      </c>
      <c r="P30"/>
      <c r="Q30"/>
      <c r="R30"/>
      <c r="S30"/>
      <c r="T30" t="s">
        <v>173</v>
      </c>
      <c r="U30">
        <v>140</v>
      </c>
      <c r="V30"/>
      <c r="W30" t="s">
        <v>108</v>
      </c>
      <c r="X30">
        <v>87.82</v>
      </c>
      <c r="Y30"/>
      <c r="Z30" s="22" t="s">
        <v>97</v>
      </c>
      <c r="AA30">
        <v>550.11</v>
      </c>
      <c r="AB30"/>
      <c r="AC30" s="22" t="s">
        <v>97</v>
      </c>
      <c r="AD30">
        <v>66.599999999999994</v>
      </c>
      <c r="AE30"/>
      <c r="AF30" t="s">
        <v>108</v>
      </c>
      <c r="AG30">
        <v>70.89</v>
      </c>
      <c r="AH30"/>
      <c r="AI30" t="s">
        <v>211</v>
      </c>
      <c r="AJ30">
        <v>2798</v>
      </c>
    </row>
    <row r="31" spans="2:59">
      <c r="B31" s="9" t="s">
        <v>207</v>
      </c>
      <c r="C31" s="9">
        <v>5</v>
      </c>
      <c r="D31"/>
      <c r="E31"/>
      <c r="F31"/>
      <c r="G31"/>
      <c r="H31"/>
      <c r="I31"/>
      <c r="J31"/>
      <c r="K31" t="s">
        <v>97</v>
      </c>
      <c r="L31">
        <v>168.16</v>
      </c>
      <c r="M31"/>
      <c r="N31" t="s">
        <v>173</v>
      </c>
      <c r="O31">
        <v>300</v>
      </c>
      <c r="P31"/>
      <c r="Q31"/>
      <c r="R31"/>
      <c r="S31"/>
      <c r="T31" t="s">
        <v>205</v>
      </c>
      <c r="U31">
        <v>34.07</v>
      </c>
      <c r="V31"/>
      <c r="W31" t="s">
        <v>199</v>
      </c>
      <c r="X31">
        <v>21.3</v>
      </c>
      <c r="Y31"/>
      <c r="Z31" s="1"/>
      <c r="AA31"/>
      <c r="AB31"/>
      <c r="AC31" s="1"/>
      <c r="AD31"/>
      <c r="AE31"/>
      <c r="AF31" t="s">
        <v>97</v>
      </c>
      <c r="AG31">
        <v>79.72</v>
      </c>
      <c r="AH31"/>
      <c r="AI31" t="s">
        <v>97</v>
      </c>
      <c r="AJ31">
        <v>128.22</v>
      </c>
    </row>
    <row r="32" spans="2:59">
      <c r="B32" s="9" t="s">
        <v>108</v>
      </c>
      <c r="C32" s="9">
        <v>111.67</v>
      </c>
      <c r="D32"/>
      <c r="E32"/>
      <c r="F32"/>
      <c r="G32"/>
      <c r="H32" s="18"/>
      <c r="I32" s="18"/>
      <c r="J32"/>
      <c r="K32" s="18" t="s">
        <v>108</v>
      </c>
      <c r="L32" s="18">
        <v>58.2</v>
      </c>
      <c r="M32"/>
      <c r="N32" s="19" t="s">
        <v>190</v>
      </c>
      <c r="O32" s="19" t="s">
        <v>193</v>
      </c>
      <c r="P32"/>
      <c r="Q32" s="19"/>
      <c r="R32" s="19"/>
      <c r="S32"/>
      <c r="T32" s="19"/>
      <c r="U32" s="19"/>
      <c r="V32"/>
      <c r="W32" s="24" t="s">
        <v>200</v>
      </c>
      <c r="X32" s="21">
        <v>34.65</v>
      </c>
      <c r="Y32"/>
      <c r="Z32" s="20"/>
      <c r="AA32" s="21"/>
      <c r="AB32"/>
      <c r="AC32" s="20"/>
      <c r="AD32" s="21"/>
      <c r="AE32"/>
      <c r="AF32"/>
      <c r="AG32"/>
      <c r="AH32"/>
      <c r="AI32" t="s">
        <v>212</v>
      </c>
      <c r="AJ32">
        <v>60</v>
      </c>
    </row>
    <row r="33" spans="2:59">
      <c r="B33" s="9" t="s">
        <v>97</v>
      </c>
      <c r="C33" s="9">
        <v>195.43</v>
      </c>
      <c r="D33"/>
      <c r="E33" s="6"/>
      <c r="F33"/>
      <c r="G33"/>
      <c r="J33"/>
      <c r="K33"/>
      <c r="L33"/>
      <c r="M33"/>
      <c r="N33"/>
      <c r="O33"/>
      <c r="P33"/>
      <c r="Q33"/>
      <c r="R33"/>
      <c r="S33"/>
      <c r="T33"/>
      <c r="U33"/>
      <c r="V33"/>
      <c r="W33" t="s">
        <v>173</v>
      </c>
      <c r="X33">
        <v>200</v>
      </c>
      <c r="Y33"/>
      <c r="Z33" s="1"/>
      <c r="AA33"/>
      <c r="AB33"/>
      <c r="AC33" s="1"/>
      <c r="AD33"/>
      <c r="AE33"/>
      <c r="AF33"/>
      <c r="AG33"/>
      <c r="AH33"/>
      <c r="AI33"/>
      <c r="AJ33"/>
    </row>
    <row r="34" spans="2:59"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 t="s">
        <v>201</v>
      </c>
      <c r="X34">
        <v>32.869999999999997</v>
      </c>
      <c r="Y34"/>
      <c r="Z34"/>
      <c r="AA34"/>
      <c r="AB34"/>
      <c r="AC34"/>
      <c r="AD34"/>
      <c r="AE34"/>
      <c r="AF34"/>
      <c r="AG34"/>
      <c r="AH34"/>
      <c r="AI34"/>
      <c r="AJ34"/>
    </row>
    <row r="35" spans="2:59">
      <c r="V35"/>
      <c r="W35" s="9" t="s">
        <v>97</v>
      </c>
      <c r="X35">
        <v>65.16</v>
      </c>
      <c r="Y35"/>
      <c r="AA35"/>
      <c r="AB35"/>
      <c r="AD35"/>
      <c r="AE35"/>
      <c r="AF35"/>
      <c r="AG35"/>
      <c r="AH35"/>
      <c r="AI35"/>
      <c r="AJ35"/>
    </row>
    <row r="36" spans="2:59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 t="s">
        <v>202</v>
      </c>
      <c r="X36">
        <v>10</v>
      </c>
      <c r="Y36"/>
      <c r="Z36"/>
      <c r="AA36"/>
      <c r="AB36"/>
      <c r="AC36"/>
      <c r="AD36"/>
      <c r="AE36"/>
      <c r="AF36"/>
      <c r="AG36"/>
      <c r="AH36"/>
      <c r="AI36"/>
      <c r="AJ36"/>
    </row>
    <row r="37" spans="2:59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 t="s">
        <v>188</v>
      </c>
      <c r="X37">
        <v>38.15</v>
      </c>
      <c r="Y37"/>
      <c r="Z37"/>
      <c r="AA37"/>
      <c r="AB37"/>
      <c r="AC37"/>
      <c r="AD37"/>
      <c r="AE37"/>
      <c r="AF37"/>
      <c r="AG37"/>
      <c r="AH37"/>
      <c r="AI37"/>
      <c r="AJ37"/>
    </row>
    <row r="38" spans="2:59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 s="19"/>
      <c r="X38"/>
      <c r="Y38"/>
      <c r="Z38" s="19"/>
      <c r="AA38"/>
      <c r="AB38"/>
      <c r="AC38" s="19"/>
      <c r="AD38"/>
      <c r="AE38"/>
      <c r="AF38"/>
      <c r="AG38"/>
      <c r="AH38"/>
      <c r="AI38"/>
      <c r="AJ38"/>
    </row>
    <row r="39" spans="2:59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</row>
    <row r="40" spans="2:59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</row>
    <row r="41" spans="2:59">
      <c r="B41" s="10" t="s">
        <v>34</v>
      </c>
      <c r="C41" s="17">
        <v>2436.5700000000002</v>
      </c>
      <c r="D41"/>
      <c r="E41" s="10" t="s">
        <v>34</v>
      </c>
      <c r="F41">
        <v>2850</v>
      </c>
      <c r="G41"/>
      <c r="H41" s="10" t="s">
        <v>34</v>
      </c>
      <c r="I41">
        <v>4580</v>
      </c>
      <c r="J41"/>
      <c r="K41" s="10" t="s">
        <v>34</v>
      </c>
      <c r="L41">
        <v>1918.31</v>
      </c>
      <c r="M41"/>
      <c r="N41" s="10" t="s">
        <v>34</v>
      </c>
      <c r="O41">
        <v>1723.78</v>
      </c>
      <c r="P41"/>
      <c r="Q41" s="10" t="s">
        <v>34</v>
      </c>
      <c r="R41">
        <v>1411.41</v>
      </c>
      <c r="S41"/>
      <c r="T41" s="10" t="s">
        <v>34</v>
      </c>
      <c r="U41">
        <v>2135.1</v>
      </c>
      <c r="V41"/>
      <c r="W41" s="10" t="s">
        <v>34</v>
      </c>
      <c r="X41">
        <v>1855.88</v>
      </c>
      <c r="Y41"/>
      <c r="Z41" s="10" t="s">
        <v>34</v>
      </c>
      <c r="AA41">
        <v>1952.81</v>
      </c>
      <c r="AB41"/>
      <c r="AC41" s="10" t="s">
        <v>34</v>
      </c>
      <c r="AD41">
        <v>1906.59</v>
      </c>
      <c r="AE41"/>
      <c r="AF41" s="10" t="s">
        <v>34</v>
      </c>
      <c r="AG41">
        <v>1604.13</v>
      </c>
      <c r="AH41"/>
      <c r="AI41" s="10" t="s">
        <v>34</v>
      </c>
      <c r="AJ41">
        <v>4512</v>
      </c>
      <c r="BG41" s="339">
        <v>28888</v>
      </c>
    </row>
    <row r="48" spans="2:59">
      <c r="B48" s="44" t="s">
        <v>35</v>
      </c>
      <c r="C48" s="44" t="s">
        <v>46</v>
      </c>
      <c r="D48" s="44" t="s">
        <v>141</v>
      </c>
      <c r="E48" s="45"/>
      <c r="F48" s="45"/>
      <c r="G48" s="44" t="s">
        <v>36</v>
      </c>
      <c r="H48" s="44" t="s">
        <v>46</v>
      </c>
      <c r="I48" s="45"/>
      <c r="J48" s="44" t="s">
        <v>37</v>
      </c>
      <c r="K48" s="44" t="s">
        <v>46</v>
      </c>
      <c r="L48" s="44" t="s">
        <v>141</v>
      </c>
      <c r="M48" s="45"/>
      <c r="N48" s="45"/>
      <c r="O48" s="44" t="s">
        <v>0</v>
      </c>
      <c r="P48" s="44" t="s">
        <v>46</v>
      </c>
      <c r="Q48" s="44" t="s">
        <v>141</v>
      </c>
      <c r="R48" s="45"/>
      <c r="S48" s="45"/>
      <c r="T48" s="44" t="s">
        <v>2</v>
      </c>
      <c r="U48" s="44" t="s">
        <v>46</v>
      </c>
      <c r="V48" s="44" t="s">
        <v>141</v>
      </c>
      <c r="W48" s="45"/>
      <c r="X48" s="45"/>
      <c r="Y48" s="44" t="s">
        <v>3</v>
      </c>
      <c r="Z48" s="44" t="s">
        <v>46</v>
      </c>
      <c r="AA48" s="44" t="s">
        <v>141</v>
      </c>
      <c r="AB48" s="45"/>
      <c r="AC48" s="45"/>
      <c r="AD48" s="44" t="s">
        <v>4</v>
      </c>
      <c r="AE48" s="44" t="s">
        <v>46</v>
      </c>
      <c r="AF48" s="44" t="s">
        <v>141</v>
      </c>
      <c r="AG48" s="45"/>
      <c r="AH48" s="45"/>
      <c r="AI48" s="44" t="s">
        <v>5</v>
      </c>
      <c r="AJ48" s="44" t="s">
        <v>46</v>
      </c>
      <c r="AK48" s="44" t="s">
        <v>141</v>
      </c>
      <c r="AL48" s="45"/>
      <c r="AM48" s="45"/>
      <c r="AN48" s="44" t="s">
        <v>256</v>
      </c>
      <c r="AO48" s="44" t="s">
        <v>46</v>
      </c>
      <c r="AP48" s="44" t="s">
        <v>141</v>
      </c>
      <c r="AQ48" s="45"/>
      <c r="AR48" s="45"/>
      <c r="AS48" s="44" t="s">
        <v>7</v>
      </c>
      <c r="AT48" s="44" t="s">
        <v>46</v>
      </c>
      <c r="AU48" s="44" t="s">
        <v>141</v>
      </c>
      <c r="AV48" s="45"/>
      <c r="AW48" s="45"/>
      <c r="AX48" s="44" t="s">
        <v>8</v>
      </c>
      <c r="AY48" s="44" t="s">
        <v>46</v>
      </c>
      <c r="AZ48" s="44" t="s">
        <v>141</v>
      </c>
      <c r="BA48" s="45"/>
      <c r="BB48" s="45"/>
      <c r="BC48" s="44" t="s">
        <v>9</v>
      </c>
      <c r="BD48" s="44" t="s">
        <v>46</v>
      </c>
      <c r="BE48" s="44" t="s">
        <v>141</v>
      </c>
      <c r="BF48" s="45"/>
    </row>
    <row r="49" spans="2:59">
      <c r="B49" s="45" t="s">
        <v>191</v>
      </c>
      <c r="C49" s="45">
        <v>1011.75</v>
      </c>
      <c r="D49" s="45">
        <v>80</v>
      </c>
      <c r="E49" s="45" t="s">
        <v>214</v>
      </c>
      <c r="F49" s="45"/>
      <c r="G49" s="45" t="s">
        <v>191</v>
      </c>
      <c r="H49" s="45">
        <v>1011.75</v>
      </c>
      <c r="I49" s="45"/>
      <c r="J49" s="45" t="s">
        <v>191</v>
      </c>
      <c r="K49" s="45">
        <v>1011.75</v>
      </c>
      <c r="L49" s="45">
        <v>165.34</v>
      </c>
      <c r="M49" s="45" t="s">
        <v>224</v>
      </c>
      <c r="N49" s="45"/>
      <c r="O49" s="45" t="s">
        <v>155</v>
      </c>
      <c r="P49" s="45">
        <v>1147.03</v>
      </c>
      <c r="Q49" s="45">
        <v>38.46</v>
      </c>
      <c r="R49" s="45" t="s">
        <v>224</v>
      </c>
      <c r="S49" s="45"/>
      <c r="T49" s="45" t="s">
        <v>191</v>
      </c>
      <c r="U49" s="45">
        <v>1011.75</v>
      </c>
      <c r="V49" s="45">
        <v>31.73</v>
      </c>
      <c r="W49" s="45" t="s">
        <v>224</v>
      </c>
      <c r="X49" s="45"/>
      <c r="Y49" s="45" t="s">
        <v>191</v>
      </c>
      <c r="Z49" s="45">
        <v>1011.75</v>
      </c>
      <c r="AA49" s="45">
        <v>17.96</v>
      </c>
      <c r="AB49" s="45" t="s">
        <v>224</v>
      </c>
      <c r="AC49" s="45"/>
      <c r="AD49" s="45" t="s">
        <v>191</v>
      </c>
      <c r="AE49" s="45">
        <v>1011.75</v>
      </c>
      <c r="AF49" s="45">
        <v>312.18</v>
      </c>
      <c r="AG49" s="45" t="s">
        <v>224</v>
      </c>
      <c r="AH49" s="45"/>
      <c r="AI49" s="45" t="s">
        <v>191</v>
      </c>
      <c r="AJ49" s="45">
        <v>1011.75</v>
      </c>
      <c r="AK49" s="45">
        <v>67.540000000000006</v>
      </c>
      <c r="AL49" s="45" t="s">
        <v>249</v>
      </c>
      <c r="AM49" s="45"/>
      <c r="AN49" s="45" t="s">
        <v>191</v>
      </c>
      <c r="AO49" s="45">
        <v>1011.75</v>
      </c>
      <c r="AP49" s="45">
        <v>38.21</v>
      </c>
      <c r="AQ49" s="45" t="s">
        <v>224</v>
      </c>
      <c r="AR49" s="45"/>
      <c r="AS49" s="45" t="s">
        <v>191</v>
      </c>
      <c r="AT49" s="45">
        <v>1011.75</v>
      </c>
      <c r="AU49" s="45">
        <v>385.68</v>
      </c>
      <c r="AV49" s="45" t="s">
        <v>224</v>
      </c>
      <c r="AW49" s="45"/>
      <c r="AX49" s="45" t="s">
        <v>191</v>
      </c>
      <c r="AY49" s="45">
        <v>1011.75</v>
      </c>
      <c r="AZ49" s="45">
        <v>339.46</v>
      </c>
      <c r="BA49" s="45" t="s">
        <v>224</v>
      </c>
      <c r="BB49" s="45"/>
      <c r="BC49" s="45" t="s">
        <v>191</v>
      </c>
      <c r="BD49" s="45">
        <v>1553.94</v>
      </c>
      <c r="BE49" s="45">
        <v>395.6</v>
      </c>
      <c r="BF49" s="45" t="s">
        <v>224</v>
      </c>
    </row>
    <row r="50" spans="2:59">
      <c r="B50" s="45" t="s">
        <v>28</v>
      </c>
      <c r="C50" s="45">
        <v>933.33</v>
      </c>
      <c r="D50" s="45"/>
      <c r="E50" s="45"/>
      <c r="F50" s="45"/>
      <c r="G50" s="45" t="s">
        <v>155</v>
      </c>
      <c r="H50" s="45">
        <v>742.8</v>
      </c>
      <c r="I50" s="45"/>
      <c r="J50" s="45" t="s">
        <v>173</v>
      </c>
      <c r="K50" s="45">
        <v>40</v>
      </c>
      <c r="L50" s="45"/>
      <c r="M50" s="45"/>
      <c r="N50" s="45"/>
      <c r="O50" s="45" t="s">
        <v>191</v>
      </c>
      <c r="P50" s="45">
        <v>1011.75</v>
      </c>
      <c r="Q50" s="45">
        <v>53.14</v>
      </c>
      <c r="R50" s="45" t="s">
        <v>143</v>
      </c>
      <c r="S50" s="45"/>
      <c r="T50" s="45" t="s">
        <v>245</v>
      </c>
      <c r="U50" s="45">
        <v>2.69</v>
      </c>
      <c r="V50" s="45">
        <v>80.3</v>
      </c>
      <c r="W50" s="45" t="s">
        <v>143</v>
      </c>
      <c r="X50" s="45"/>
      <c r="Y50" s="45" t="s">
        <v>108</v>
      </c>
      <c r="Z50" s="45">
        <v>55.61</v>
      </c>
      <c r="AA50" s="45">
        <v>80.900000000000006</v>
      </c>
      <c r="AB50" s="45" t="s">
        <v>248</v>
      </c>
      <c r="AC50" s="45"/>
      <c r="AD50" s="45" t="s">
        <v>108</v>
      </c>
      <c r="AE50" s="45">
        <v>73.72</v>
      </c>
      <c r="AF50" s="45">
        <v>668.67</v>
      </c>
      <c r="AG50" s="45" t="s">
        <v>248</v>
      </c>
      <c r="AH50" s="45"/>
      <c r="AI50" s="45" t="s">
        <v>108</v>
      </c>
      <c r="AJ50" s="45">
        <v>83.68</v>
      </c>
      <c r="AK50" s="45">
        <v>30.96</v>
      </c>
      <c r="AL50" s="45" t="s">
        <v>224</v>
      </c>
      <c r="AM50" s="45"/>
      <c r="AN50" s="45" t="s">
        <v>108</v>
      </c>
      <c r="AO50" s="45">
        <v>84.3</v>
      </c>
      <c r="AP50" s="45">
        <v>78.45</v>
      </c>
      <c r="AQ50" s="45" t="s">
        <v>249</v>
      </c>
      <c r="AR50" s="45"/>
      <c r="AS50" s="45" t="s">
        <v>108</v>
      </c>
      <c r="AT50" s="45">
        <v>97.72</v>
      </c>
      <c r="AU50" s="45">
        <v>54.78</v>
      </c>
      <c r="AV50" s="45" t="s">
        <v>249</v>
      </c>
      <c r="AW50" s="45"/>
      <c r="AX50" s="45" t="s">
        <v>155</v>
      </c>
      <c r="AY50" s="45">
        <v>2868.03</v>
      </c>
      <c r="AZ50" s="45">
        <v>35.82</v>
      </c>
      <c r="BA50" s="45" t="s">
        <v>248</v>
      </c>
      <c r="BB50" s="45"/>
      <c r="BC50" s="45" t="s">
        <v>108</v>
      </c>
      <c r="BD50" s="45">
        <v>68.27</v>
      </c>
      <c r="BE50" s="45">
        <v>100</v>
      </c>
      <c r="BF50" s="45" t="s">
        <v>248</v>
      </c>
    </row>
    <row r="51" spans="2:59">
      <c r="B51" s="45" t="s">
        <v>143</v>
      </c>
      <c r="C51" s="45">
        <v>515.91</v>
      </c>
      <c r="D51" s="45"/>
      <c r="E51" s="45"/>
      <c r="F51" s="45"/>
      <c r="G51" s="45" t="s">
        <v>141</v>
      </c>
      <c r="H51" s="45">
        <v>160.91999999999999</v>
      </c>
      <c r="I51" s="45"/>
      <c r="J51" s="45" t="s">
        <v>221</v>
      </c>
      <c r="K51" s="45">
        <v>8.58</v>
      </c>
      <c r="L51" s="45"/>
      <c r="M51" s="45"/>
      <c r="N51" s="45"/>
      <c r="O51" s="45" t="s">
        <v>108</v>
      </c>
      <c r="P51" s="45">
        <v>80.739999999999995</v>
      </c>
      <c r="Q51" s="45">
        <v>149.52000000000001</v>
      </c>
      <c r="R51" s="45" t="s">
        <v>28</v>
      </c>
      <c r="S51" s="45"/>
      <c r="T51" s="45" t="s">
        <v>108</v>
      </c>
      <c r="U51" s="45">
        <v>39.479999999999997</v>
      </c>
      <c r="V51" s="45"/>
      <c r="W51" s="45"/>
      <c r="X51" s="45"/>
      <c r="Y51" s="45" t="s">
        <v>247</v>
      </c>
      <c r="Z51" s="45">
        <v>0.05</v>
      </c>
      <c r="AA51" s="45">
        <v>53.68</v>
      </c>
      <c r="AB51" s="45" t="s">
        <v>249</v>
      </c>
      <c r="AC51" s="45"/>
      <c r="AD51" s="45" t="s">
        <v>155</v>
      </c>
      <c r="AE51" s="45">
        <v>144.46</v>
      </c>
      <c r="AF51" s="45">
        <v>94.8</v>
      </c>
      <c r="AG51" s="45" t="s">
        <v>249</v>
      </c>
      <c r="AH51" s="45"/>
      <c r="AI51" s="45" t="s">
        <v>235</v>
      </c>
      <c r="AJ51" s="45">
        <v>179.66</v>
      </c>
      <c r="AK51" s="45">
        <v>90.96</v>
      </c>
      <c r="AL51" s="45" t="s">
        <v>234</v>
      </c>
      <c r="AM51" s="45"/>
      <c r="AN51" s="45" t="s">
        <v>155</v>
      </c>
      <c r="AO51" s="45">
        <v>297.02</v>
      </c>
      <c r="AP51" s="45">
        <v>91.27</v>
      </c>
      <c r="AQ51" s="45" t="s">
        <v>234</v>
      </c>
      <c r="AR51" s="45"/>
      <c r="AS51" s="45" t="s">
        <v>235</v>
      </c>
      <c r="AT51" s="45">
        <v>38.99</v>
      </c>
      <c r="AU51" s="45">
        <v>164.3</v>
      </c>
      <c r="AV51" s="45" t="s">
        <v>248</v>
      </c>
      <c r="AW51" s="45"/>
      <c r="AX51" s="45" t="s">
        <v>282</v>
      </c>
      <c r="AY51" s="45">
        <v>14</v>
      </c>
      <c r="AZ51" s="45">
        <v>94.83</v>
      </c>
      <c r="BA51" s="45" t="s">
        <v>249</v>
      </c>
      <c r="BB51" s="45"/>
      <c r="BC51" s="45" t="s">
        <v>288</v>
      </c>
      <c r="BD51" s="45">
        <v>19.7</v>
      </c>
      <c r="BE51" s="45">
        <v>160.37</v>
      </c>
      <c r="BF51" s="45" t="s">
        <v>249</v>
      </c>
    </row>
    <row r="52" spans="2:59">
      <c r="B52" s="45" t="s">
        <v>141</v>
      </c>
      <c r="C52" s="45">
        <v>115.96</v>
      </c>
      <c r="D52" s="45"/>
      <c r="E52" s="45"/>
      <c r="F52" s="45"/>
      <c r="G52" s="45" t="s">
        <v>143</v>
      </c>
      <c r="H52" s="45">
        <v>119.74</v>
      </c>
      <c r="I52" s="45"/>
      <c r="J52" s="45" t="s">
        <v>222</v>
      </c>
      <c r="K52" s="45">
        <v>987.06</v>
      </c>
      <c r="L52" s="45"/>
      <c r="M52" s="45"/>
      <c r="N52" s="45"/>
      <c r="O52" s="45" t="s">
        <v>173</v>
      </c>
      <c r="P52" s="45">
        <v>100</v>
      </c>
      <c r="Q52" s="45"/>
      <c r="R52" s="45"/>
      <c r="S52" s="45"/>
      <c r="T52" s="45" t="s">
        <v>243</v>
      </c>
      <c r="U52" s="45">
        <v>75</v>
      </c>
      <c r="V52" s="45"/>
      <c r="W52" s="45"/>
      <c r="X52" s="45"/>
      <c r="Y52" s="45" t="s">
        <v>155</v>
      </c>
      <c r="Z52" s="45">
        <v>55.59</v>
      </c>
      <c r="AA52" s="45">
        <v>92.91</v>
      </c>
      <c r="AB52" s="45" t="s">
        <v>234</v>
      </c>
      <c r="AC52" s="45"/>
      <c r="AD52" s="45" t="s">
        <v>250</v>
      </c>
      <c r="AE52" s="45">
        <v>100</v>
      </c>
      <c r="AF52" s="45">
        <v>900</v>
      </c>
      <c r="AG52" s="45" t="s">
        <v>251</v>
      </c>
      <c r="AH52" s="45"/>
      <c r="AI52" s="45" t="s">
        <v>244</v>
      </c>
      <c r="AJ52" s="45">
        <v>31.37</v>
      </c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>
        <v>80</v>
      </c>
      <c r="AV52" s="45" t="s">
        <v>272</v>
      </c>
      <c r="AW52" s="45"/>
      <c r="AX52" s="45" t="s">
        <v>173</v>
      </c>
      <c r="AY52" s="45">
        <v>100</v>
      </c>
      <c r="AZ52" s="45">
        <v>129.43</v>
      </c>
      <c r="BA52" s="45" t="s">
        <v>234</v>
      </c>
      <c r="BB52" s="45"/>
      <c r="BC52" s="45" t="s">
        <v>173</v>
      </c>
      <c r="BD52" s="45">
        <v>300</v>
      </c>
      <c r="BE52" s="45">
        <v>60.62</v>
      </c>
      <c r="BF52" s="45" t="s">
        <v>234</v>
      </c>
    </row>
    <row r="53" spans="2:59">
      <c r="B53" s="45" t="s">
        <v>108</v>
      </c>
      <c r="C53" s="45">
        <v>78.849999999999994</v>
      </c>
      <c r="D53" s="45"/>
      <c r="E53" s="45"/>
      <c r="F53" s="45"/>
      <c r="G53" s="45" t="s">
        <v>28</v>
      </c>
      <c r="H53" s="45">
        <v>32.06</v>
      </c>
      <c r="I53" s="45"/>
      <c r="J53" s="45" t="s">
        <v>28</v>
      </c>
      <c r="K53" s="45">
        <v>66.31</v>
      </c>
      <c r="L53" s="45"/>
      <c r="M53" s="45"/>
      <c r="N53" s="45"/>
      <c r="O53" s="45" t="s">
        <v>234</v>
      </c>
      <c r="P53" s="45">
        <v>80.02</v>
      </c>
      <c r="Q53" s="45"/>
      <c r="R53" s="45"/>
      <c r="S53" s="45"/>
      <c r="T53" s="45" t="s">
        <v>235</v>
      </c>
      <c r="U53" s="45">
        <v>1156.25</v>
      </c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>
        <v>87.82</v>
      </c>
      <c r="AG53" s="45" t="s">
        <v>234</v>
      </c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>
        <v>129.55000000000001</v>
      </c>
      <c r="AV53" s="45" t="s">
        <v>234</v>
      </c>
      <c r="AW53" s="45"/>
      <c r="AX53" s="45" t="s">
        <v>108</v>
      </c>
      <c r="AY53" s="45">
        <v>67.650000000000006</v>
      </c>
      <c r="AZ53" s="45"/>
      <c r="BA53" s="45"/>
      <c r="BB53" s="45"/>
      <c r="BC53" s="45" t="s">
        <v>155</v>
      </c>
      <c r="BD53" s="45">
        <v>11.76</v>
      </c>
      <c r="BE53" s="45"/>
      <c r="BF53" s="45"/>
    </row>
    <row r="54" spans="2:59">
      <c r="B54" s="45" t="s">
        <v>97</v>
      </c>
      <c r="C54" s="45">
        <v>339.51</v>
      </c>
      <c r="D54" s="45"/>
      <c r="E54" s="45"/>
      <c r="F54" s="45"/>
      <c r="G54" s="45" t="s">
        <v>108</v>
      </c>
      <c r="H54" s="45">
        <v>142.43</v>
      </c>
      <c r="I54" s="45"/>
      <c r="J54" s="45" t="s">
        <v>108</v>
      </c>
      <c r="K54" s="45">
        <v>99.16</v>
      </c>
      <c r="L54" s="45"/>
      <c r="M54" s="45"/>
      <c r="N54" s="45"/>
      <c r="O54" s="45" t="s">
        <v>235</v>
      </c>
      <c r="P54" s="45">
        <v>91.75</v>
      </c>
      <c r="Q54" s="45"/>
      <c r="R54" s="45"/>
      <c r="S54" s="45"/>
      <c r="T54" s="45" t="s">
        <v>234</v>
      </c>
      <c r="U54" s="45">
        <v>74.67</v>
      </c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 t="s">
        <v>283</v>
      </c>
      <c r="AY54" s="45">
        <v>401.96</v>
      </c>
      <c r="AZ54" s="45"/>
      <c r="BA54" s="45"/>
      <c r="BB54" s="45"/>
      <c r="BC54" s="45" t="s">
        <v>289</v>
      </c>
      <c r="BD54" s="45">
        <v>60</v>
      </c>
      <c r="BE54" s="45"/>
      <c r="BF54" s="45"/>
    </row>
    <row r="55" spans="2:59">
      <c r="B55" s="45" t="s">
        <v>213</v>
      </c>
      <c r="C55" s="45">
        <v>410.88</v>
      </c>
      <c r="D55" s="45"/>
      <c r="E55" s="45"/>
      <c r="F55" s="45"/>
      <c r="G55" s="45" t="s">
        <v>216</v>
      </c>
      <c r="H55" s="45">
        <v>88.99</v>
      </c>
      <c r="I55" s="45"/>
      <c r="J55" s="45" t="s">
        <v>223</v>
      </c>
      <c r="K55" s="45">
        <v>23.88</v>
      </c>
      <c r="L55" s="45"/>
      <c r="M55" s="45"/>
      <c r="N55" s="45"/>
      <c r="O55" s="45"/>
      <c r="P55" s="45"/>
      <c r="Q55" s="45"/>
      <c r="R55" s="45"/>
      <c r="S55" s="45"/>
      <c r="T55" s="45" t="s">
        <v>244</v>
      </c>
      <c r="U55" s="45">
        <v>32.869999999999997</v>
      </c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 t="s">
        <v>284</v>
      </c>
      <c r="AY55" s="45">
        <v>979.14</v>
      </c>
      <c r="AZ55" s="45"/>
      <c r="BA55" s="45"/>
      <c r="BB55" s="45"/>
      <c r="BC55" s="45"/>
      <c r="BD55" s="45"/>
      <c r="BE55" s="45"/>
      <c r="BF55" s="45"/>
    </row>
    <row r="56" spans="2:59">
      <c r="B56" s="45"/>
      <c r="C56" s="45"/>
      <c r="D56" s="45"/>
      <c r="E56" s="45"/>
      <c r="F56" s="45"/>
      <c r="G56" s="45" t="s">
        <v>217</v>
      </c>
      <c r="H56" s="45">
        <v>76.84</v>
      </c>
      <c r="I56" s="45"/>
      <c r="J56" s="45" t="s">
        <v>97</v>
      </c>
      <c r="K56" s="45">
        <v>93.86</v>
      </c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 t="s">
        <v>173</v>
      </c>
      <c r="AY56" s="45">
        <v>200</v>
      </c>
      <c r="AZ56" s="45"/>
      <c r="BA56" s="45"/>
      <c r="BB56" s="45"/>
      <c r="BC56" s="45"/>
      <c r="BD56" s="45"/>
      <c r="BE56" s="45"/>
      <c r="BF56" s="45"/>
    </row>
    <row r="57" spans="2:59"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</row>
    <row r="58" spans="2:59"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</row>
    <row r="59" spans="2:59">
      <c r="B59" s="46" t="s">
        <v>34</v>
      </c>
      <c r="C59" s="46">
        <v>3406.19</v>
      </c>
      <c r="D59" s="46">
        <v>80</v>
      </c>
      <c r="E59" s="45"/>
      <c r="F59" s="45"/>
      <c r="G59" s="46" t="s">
        <v>34</v>
      </c>
      <c r="H59" s="46">
        <v>2375.5300000000002</v>
      </c>
      <c r="I59" s="45"/>
      <c r="J59" s="46" t="s">
        <v>34</v>
      </c>
      <c r="K59" s="46">
        <v>2330.6</v>
      </c>
      <c r="L59" s="46">
        <v>165.34</v>
      </c>
      <c r="M59" s="45"/>
      <c r="N59" s="45"/>
      <c r="O59" s="46" t="s">
        <v>34</v>
      </c>
      <c r="P59" s="46">
        <v>2511.29</v>
      </c>
      <c r="Q59" s="46">
        <v>241.12</v>
      </c>
      <c r="R59" s="45"/>
      <c r="S59" s="45"/>
      <c r="T59" s="46" t="s">
        <v>34</v>
      </c>
      <c r="U59" s="46">
        <v>2392.71</v>
      </c>
      <c r="V59" s="46">
        <v>112.03</v>
      </c>
      <c r="W59" s="45"/>
      <c r="X59" s="45"/>
      <c r="Y59" s="46" t="s">
        <v>34</v>
      </c>
      <c r="Z59" s="46">
        <v>1123</v>
      </c>
      <c r="AA59" s="46">
        <v>245.45</v>
      </c>
      <c r="AB59" s="45"/>
      <c r="AC59" s="45"/>
      <c r="AD59" s="46" t="s">
        <v>34</v>
      </c>
      <c r="AE59" s="46">
        <v>1123</v>
      </c>
      <c r="AF59" s="46">
        <v>2063.4699999999998</v>
      </c>
      <c r="AG59" s="45"/>
      <c r="AH59" s="45"/>
      <c r="AI59" s="46" t="s">
        <v>34</v>
      </c>
      <c r="AJ59" s="46">
        <v>1123</v>
      </c>
      <c r="AK59" s="46">
        <v>189.46</v>
      </c>
      <c r="AL59" s="45"/>
      <c r="AM59" s="45"/>
      <c r="AN59" s="46" t="s">
        <v>34</v>
      </c>
      <c r="AO59" s="46">
        <v>1393.07</v>
      </c>
      <c r="AP59" s="46">
        <v>207.93</v>
      </c>
      <c r="AQ59" s="45"/>
      <c r="AR59" s="45"/>
      <c r="AS59" s="46" t="s">
        <v>34</v>
      </c>
      <c r="AT59" s="46">
        <v>1148.46</v>
      </c>
      <c r="AU59" s="46">
        <v>814.31</v>
      </c>
      <c r="AV59" s="45"/>
      <c r="AW59" s="45"/>
      <c r="AX59" s="46" t="s">
        <v>34</v>
      </c>
      <c r="AY59" s="45">
        <v>5642.53</v>
      </c>
      <c r="AZ59" s="45">
        <v>599.54</v>
      </c>
      <c r="BA59" s="45"/>
      <c r="BB59" s="45"/>
      <c r="BC59" s="46" t="s">
        <v>34</v>
      </c>
      <c r="BD59" s="45">
        <v>2013.67</v>
      </c>
      <c r="BE59" s="45">
        <v>716.59</v>
      </c>
      <c r="BF59" s="45"/>
    </row>
    <row r="60" spans="2:59" s="340" customFormat="1">
      <c r="E60" s="341">
        <v>3486</v>
      </c>
      <c r="F60" s="341"/>
      <c r="I60" s="340">
        <v>2375</v>
      </c>
      <c r="M60" s="340">
        <v>2496</v>
      </c>
      <c r="R60" s="340">
        <v>2752</v>
      </c>
      <c r="W60" s="340">
        <v>2504</v>
      </c>
      <c r="AB60" s="340">
        <v>1368</v>
      </c>
      <c r="AG60" s="340">
        <v>3186</v>
      </c>
      <c r="AL60" s="340">
        <v>1312</v>
      </c>
      <c r="AQ60" s="340">
        <v>1601</v>
      </c>
      <c r="AV60" s="340">
        <v>1962</v>
      </c>
      <c r="BA60" s="340">
        <v>6242</v>
      </c>
      <c r="BF60" s="340">
        <v>2730</v>
      </c>
      <c r="BG60" s="334">
        <v>32014</v>
      </c>
    </row>
    <row r="64" spans="2:59" ht="29">
      <c r="BG64" s="342">
        <v>95654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039C-22B3-E04F-96BB-0BDDA38D5ABC}">
  <dimension ref="B3:BI53"/>
  <sheetViews>
    <sheetView topLeftCell="AF1" workbookViewId="0">
      <selection activeCell="BI53" sqref="BI53"/>
    </sheetView>
  </sheetViews>
  <sheetFormatPr baseColWidth="10" defaultRowHeight="15"/>
  <cols>
    <col min="2" max="2" width="18.1640625" bestFit="1" customWidth="1"/>
    <col min="5" max="5" width="11.6640625" bestFit="1" customWidth="1"/>
    <col min="12" max="12" width="11.5" bestFit="1" customWidth="1"/>
    <col min="15" max="15" width="11.6640625" bestFit="1" customWidth="1"/>
    <col min="16" max="16" width="11.6640625" customWidth="1"/>
    <col min="17" max="17" width="11.5" bestFit="1" customWidth="1"/>
    <col min="18" max="18" width="23.83203125" customWidth="1"/>
    <col min="22" max="22" width="12.1640625" bestFit="1" customWidth="1"/>
    <col min="27" max="27" width="12.1640625" bestFit="1" customWidth="1"/>
    <col min="30" max="30" width="11.1640625" bestFit="1" customWidth="1"/>
    <col min="33" max="33" width="17" customWidth="1"/>
    <col min="35" max="35" width="15.5" bestFit="1" customWidth="1"/>
    <col min="40" max="40" width="23" customWidth="1"/>
    <col min="42" max="42" width="22" bestFit="1" customWidth="1"/>
    <col min="47" max="47" width="22" bestFit="1" customWidth="1"/>
    <col min="52" max="52" width="12.83203125" bestFit="1" customWidth="1"/>
  </cols>
  <sheetData>
    <row r="3" spans="2:61">
      <c r="B3" s="335">
        <v>2020</v>
      </c>
      <c r="V3" s="82"/>
      <c r="W3" s="48"/>
      <c r="X3" s="48"/>
      <c r="Y3" s="49"/>
    </row>
    <row r="4" spans="2:61" ht="19">
      <c r="B4" s="74" t="s">
        <v>35</v>
      </c>
      <c r="C4" s="75" t="s">
        <v>46</v>
      </c>
      <c r="D4" s="75" t="s">
        <v>141</v>
      </c>
      <c r="E4" s="85"/>
      <c r="G4" s="74" t="s">
        <v>36</v>
      </c>
      <c r="H4" s="75" t="s">
        <v>46</v>
      </c>
      <c r="I4" s="75" t="s">
        <v>141</v>
      </c>
      <c r="J4" s="85"/>
      <c r="K4" s="45"/>
      <c r="L4" s="74" t="s">
        <v>37</v>
      </c>
      <c r="M4" s="75" t="s">
        <v>46</v>
      </c>
      <c r="N4" s="75" t="s">
        <v>141</v>
      </c>
      <c r="O4" s="49"/>
      <c r="Q4" s="74" t="s">
        <v>316</v>
      </c>
      <c r="R4" s="75" t="s">
        <v>46</v>
      </c>
      <c r="S4" s="75" t="s">
        <v>141</v>
      </c>
      <c r="T4" s="49"/>
      <c r="V4" s="86" t="s">
        <v>2</v>
      </c>
      <c r="W4" s="44" t="s">
        <v>46</v>
      </c>
      <c r="X4" s="44" t="s">
        <v>141</v>
      </c>
      <c r="Y4" s="51"/>
      <c r="AA4" s="74" t="s">
        <v>3</v>
      </c>
      <c r="AB4" s="75" t="s">
        <v>46</v>
      </c>
      <c r="AC4" s="75" t="s">
        <v>141</v>
      </c>
      <c r="AD4" s="49"/>
      <c r="AF4" s="74" t="s">
        <v>4</v>
      </c>
      <c r="AG4" s="75" t="s">
        <v>46</v>
      </c>
      <c r="AH4" s="75" t="s">
        <v>141</v>
      </c>
      <c r="AI4" s="49"/>
      <c r="AK4" s="74" t="s">
        <v>5</v>
      </c>
      <c r="AL4" s="75" t="s">
        <v>46</v>
      </c>
      <c r="AM4" s="75" t="s">
        <v>141</v>
      </c>
      <c r="AN4" s="49"/>
      <c r="AP4" s="74" t="s">
        <v>6</v>
      </c>
      <c r="AQ4" s="75" t="s">
        <v>46</v>
      </c>
      <c r="AR4" s="75" t="s">
        <v>141</v>
      </c>
      <c r="AS4" s="49"/>
      <c r="AU4" s="74" t="s">
        <v>7</v>
      </c>
      <c r="AV4" s="75" t="s">
        <v>46</v>
      </c>
      <c r="AW4" s="75" t="s">
        <v>141</v>
      </c>
      <c r="AX4" s="49"/>
      <c r="AZ4" s="74" t="s">
        <v>8</v>
      </c>
      <c r="BA4" s="75" t="s">
        <v>46</v>
      </c>
      <c r="BB4" s="75" t="s">
        <v>141</v>
      </c>
      <c r="BC4" s="49"/>
      <c r="BE4" s="74" t="s">
        <v>9</v>
      </c>
      <c r="BF4" s="75" t="s">
        <v>46</v>
      </c>
      <c r="BG4" s="75" t="s">
        <v>141</v>
      </c>
      <c r="BH4" s="49"/>
    </row>
    <row r="5" spans="2:61" ht="19">
      <c r="B5" s="76" t="s">
        <v>191</v>
      </c>
      <c r="C5" s="45">
        <v>1553.94</v>
      </c>
      <c r="D5" s="45">
        <v>1529.17</v>
      </c>
      <c r="E5" s="79" t="s">
        <v>224</v>
      </c>
      <c r="G5" s="76" t="s">
        <v>191</v>
      </c>
      <c r="H5">
        <v>1553.94</v>
      </c>
      <c r="I5" s="45">
        <v>450.91</v>
      </c>
      <c r="J5" s="79" t="s">
        <v>224</v>
      </c>
      <c r="K5" s="45"/>
      <c r="L5" s="76" t="s">
        <v>191</v>
      </c>
      <c r="M5">
        <v>1553.94</v>
      </c>
      <c r="N5" s="45">
        <v>68.25</v>
      </c>
      <c r="O5" s="79" t="s">
        <v>143</v>
      </c>
      <c r="P5" s="45"/>
      <c r="Q5" s="76" t="s">
        <v>191</v>
      </c>
      <c r="R5">
        <v>1553.94</v>
      </c>
      <c r="S5" s="45">
        <v>235.91</v>
      </c>
      <c r="T5" s="79" t="s">
        <v>143</v>
      </c>
      <c r="V5" s="76" t="s">
        <v>191</v>
      </c>
      <c r="W5">
        <v>1553.94</v>
      </c>
      <c r="X5" s="45">
        <v>16.010000000000002</v>
      </c>
      <c r="Y5" s="79" t="s">
        <v>224</v>
      </c>
      <c r="AA5" s="76" t="s">
        <v>191</v>
      </c>
      <c r="AB5">
        <v>1553.94</v>
      </c>
      <c r="AC5" s="45">
        <v>120.28</v>
      </c>
      <c r="AD5" s="79" t="s">
        <v>143</v>
      </c>
      <c r="AF5" s="76" t="s">
        <v>191</v>
      </c>
      <c r="AG5">
        <v>1553.94</v>
      </c>
      <c r="AH5" s="45">
        <v>105.06</v>
      </c>
      <c r="AI5" s="79" t="s">
        <v>224</v>
      </c>
      <c r="AK5" s="76" t="s">
        <v>191</v>
      </c>
      <c r="AL5">
        <v>1553.94</v>
      </c>
      <c r="AM5" s="45">
        <v>100</v>
      </c>
      <c r="AN5" s="51" t="s">
        <v>346</v>
      </c>
      <c r="AP5" s="76" t="s">
        <v>191</v>
      </c>
      <c r="AQ5">
        <v>1497.67</v>
      </c>
      <c r="AR5" s="45">
        <v>206.74</v>
      </c>
      <c r="AS5" s="51" t="s">
        <v>224</v>
      </c>
      <c r="AU5" s="76" t="s">
        <v>191</v>
      </c>
      <c r="AV5">
        <v>1586.02</v>
      </c>
      <c r="AW5" s="45">
        <v>1067.6600000000001</v>
      </c>
      <c r="AX5" s="51" t="s">
        <v>224</v>
      </c>
      <c r="AZ5" s="76" t="s">
        <v>191</v>
      </c>
      <c r="BA5">
        <v>1529.43</v>
      </c>
      <c r="BB5" s="45">
        <v>1000</v>
      </c>
      <c r="BC5" s="51" t="s">
        <v>303</v>
      </c>
      <c r="BE5" s="76" t="s">
        <v>191</v>
      </c>
      <c r="BF5">
        <v>1567.02</v>
      </c>
      <c r="BG5" s="45">
        <v>5.01</v>
      </c>
      <c r="BH5" s="51" t="s">
        <v>224</v>
      </c>
    </row>
    <row r="6" spans="2:61" ht="19">
      <c r="B6" s="76" t="s">
        <v>108</v>
      </c>
      <c r="C6" s="45">
        <v>104.06</v>
      </c>
      <c r="D6" s="45">
        <v>183.32</v>
      </c>
      <c r="E6" s="79" t="s">
        <v>143</v>
      </c>
      <c r="G6" s="76" t="s">
        <v>108</v>
      </c>
      <c r="H6" s="45">
        <v>200.68</v>
      </c>
      <c r="I6" s="45">
        <v>234.56</v>
      </c>
      <c r="J6" s="79" t="s">
        <v>143</v>
      </c>
      <c r="K6" s="45"/>
      <c r="L6" s="76" t="s">
        <v>108</v>
      </c>
      <c r="M6" s="45">
        <v>144</v>
      </c>
      <c r="N6" s="45">
        <v>167.11</v>
      </c>
      <c r="O6" s="79" t="s">
        <v>28</v>
      </c>
      <c r="P6" s="45"/>
      <c r="Q6" s="76" t="s">
        <v>155</v>
      </c>
      <c r="R6" s="45">
        <v>5382.89</v>
      </c>
      <c r="S6" s="45">
        <v>156.05000000000001</v>
      </c>
      <c r="T6" s="79" t="s">
        <v>28</v>
      </c>
      <c r="V6" s="76" t="s">
        <v>143</v>
      </c>
      <c r="W6" s="45">
        <v>200.66</v>
      </c>
      <c r="X6" s="45"/>
      <c r="Y6" s="79"/>
      <c r="AA6" s="76" t="s">
        <v>108</v>
      </c>
      <c r="AB6" s="45">
        <v>68.760000000000005</v>
      </c>
      <c r="AC6" s="45">
        <v>594.73</v>
      </c>
      <c r="AD6" s="79" t="s">
        <v>303</v>
      </c>
      <c r="AF6" s="76" t="s">
        <v>28</v>
      </c>
      <c r="AG6" s="45">
        <v>685.4</v>
      </c>
      <c r="AH6" s="45">
        <v>500</v>
      </c>
      <c r="AI6" s="79" t="s">
        <v>303</v>
      </c>
      <c r="AK6" s="76" t="s">
        <v>143</v>
      </c>
      <c r="AL6" s="45">
        <v>180.51</v>
      </c>
      <c r="AM6" s="45">
        <v>1200</v>
      </c>
      <c r="AN6" s="79" t="s">
        <v>303</v>
      </c>
      <c r="AP6" s="76" t="s">
        <v>143</v>
      </c>
      <c r="AQ6" s="45">
        <v>174.8</v>
      </c>
      <c r="AR6" s="45">
        <v>500</v>
      </c>
      <c r="AS6" s="79" t="s">
        <v>303</v>
      </c>
      <c r="AU6" s="76" t="s">
        <v>28</v>
      </c>
      <c r="AV6" s="45">
        <v>170</v>
      </c>
      <c r="AW6" s="45"/>
      <c r="AX6" s="51"/>
      <c r="AZ6" s="76" t="s">
        <v>108</v>
      </c>
      <c r="BA6" s="45">
        <v>105.32</v>
      </c>
      <c r="BB6" s="45">
        <v>176.9</v>
      </c>
      <c r="BC6" s="51" t="s">
        <v>224</v>
      </c>
      <c r="BE6" s="76" t="s">
        <v>108</v>
      </c>
      <c r="BF6" s="45">
        <v>74.83</v>
      </c>
      <c r="BG6" s="45"/>
      <c r="BH6" s="51"/>
    </row>
    <row r="7" spans="2:61" ht="19">
      <c r="B7" s="76" t="s">
        <v>155</v>
      </c>
      <c r="C7" s="45">
        <v>82.58</v>
      </c>
      <c r="D7" s="45">
        <v>296.08</v>
      </c>
      <c r="E7" s="79" t="s">
        <v>28</v>
      </c>
      <c r="G7" s="76" t="s">
        <v>155</v>
      </c>
      <c r="H7" s="45">
        <v>1034.5999999999999</v>
      </c>
      <c r="I7" s="45">
        <v>647.82000000000005</v>
      </c>
      <c r="J7" s="79" t="s">
        <v>28</v>
      </c>
      <c r="K7" s="45"/>
      <c r="L7" s="76" t="s">
        <v>235</v>
      </c>
      <c r="M7" s="45">
        <v>185.72</v>
      </c>
      <c r="N7" s="45"/>
      <c r="O7" s="79"/>
      <c r="P7" s="45"/>
      <c r="Q7" s="76" t="s">
        <v>235</v>
      </c>
      <c r="R7" s="45">
        <v>54</v>
      </c>
      <c r="S7" s="45">
        <v>9</v>
      </c>
      <c r="T7" s="51" t="s">
        <v>318</v>
      </c>
      <c r="V7" s="76" t="s">
        <v>28</v>
      </c>
      <c r="W7" s="45">
        <v>90.24</v>
      </c>
      <c r="X7" s="45"/>
      <c r="Y7" s="51"/>
      <c r="AA7" s="76" t="s">
        <v>28</v>
      </c>
      <c r="AB7" s="45">
        <v>186.45</v>
      </c>
      <c r="AC7" s="45"/>
      <c r="AD7" s="51"/>
      <c r="AF7" s="76" t="s">
        <v>143</v>
      </c>
      <c r="AG7" s="45">
        <v>112.97</v>
      </c>
      <c r="AH7" s="45"/>
      <c r="AI7" s="51"/>
      <c r="AK7" s="76" t="s">
        <v>108</v>
      </c>
      <c r="AL7" s="45">
        <v>102.13</v>
      </c>
      <c r="AM7" s="45"/>
      <c r="AN7" s="51"/>
      <c r="AP7" s="76" t="s">
        <v>108</v>
      </c>
      <c r="AQ7" s="45">
        <v>143.06</v>
      </c>
      <c r="AR7" s="45"/>
      <c r="AS7" s="51"/>
      <c r="AU7" s="76" t="s">
        <v>143</v>
      </c>
      <c r="AV7" s="45">
        <v>73.5</v>
      </c>
      <c r="AW7" s="45"/>
      <c r="AX7" s="51"/>
      <c r="AZ7" s="76" t="s">
        <v>143</v>
      </c>
      <c r="BA7" s="45">
        <v>103.96</v>
      </c>
      <c r="BB7" s="45">
        <v>1400</v>
      </c>
      <c r="BC7" s="51" t="s">
        <v>303</v>
      </c>
      <c r="BE7" s="76" t="s">
        <v>143</v>
      </c>
      <c r="BF7" s="45">
        <v>268.76</v>
      </c>
      <c r="BG7" s="45"/>
      <c r="BH7" s="51"/>
    </row>
    <row r="8" spans="2:61" ht="19">
      <c r="B8" s="76" t="s">
        <v>235</v>
      </c>
      <c r="C8" s="45">
        <v>319.74</v>
      </c>
      <c r="D8" s="45">
        <v>400</v>
      </c>
      <c r="E8" s="79" t="s">
        <v>303</v>
      </c>
      <c r="G8" s="76" t="s">
        <v>235</v>
      </c>
      <c r="H8" s="45">
        <v>9.0399999999999991</v>
      </c>
      <c r="I8" s="45"/>
      <c r="J8" s="79"/>
      <c r="K8" s="45"/>
      <c r="L8" s="76" t="s">
        <v>234</v>
      </c>
      <c r="M8" s="45">
        <v>158.63</v>
      </c>
      <c r="N8" s="45"/>
      <c r="O8" s="51"/>
      <c r="Q8" s="76" t="s">
        <v>106</v>
      </c>
      <c r="R8" s="45">
        <v>2984</v>
      </c>
      <c r="S8" s="45"/>
      <c r="T8" s="51"/>
      <c r="V8" s="76" t="s">
        <v>330</v>
      </c>
      <c r="W8" s="45">
        <v>78</v>
      </c>
      <c r="X8" s="45"/>
      <c r="Y8" s="51"/>
      <c r="AA8" s="76" t="s">
        <v>303</v>
      </c>
      <c r="AB8" s="45">
        <v>300</v>
      </c>
      <c r="AC8" s="45"/>
      <c r="AD8" s="51"/>
      <c r="AF8" s="76" t="s">
        <v>108</v>
      </c>
      <c r="AG8" s="45">
        <v>87.66</v>
      </c>
      <c r="AH8" s="45"/>
      <c r="AI8" s="51"/>
      <c r="AK8" s="76" t="s">
        <v>234</v>
      </c>
      <c r="AL8" s="45">
        <v>146.62</v>
      </c>
      <c r="AM8" s="45"/>
      <c r="AN8" s="51"/>
      <c r="AP8" s="76" t="s">
        <v>28</v>
      </c>
      <c r="AQ8" s="45">
        <v>8.75</v>
      </c>
      <c r="AR8" s="45"/>
      <c r="AS8" s="51"/>
      <c r="AU8" s="76" t="s">
        <v>108</v>
      </c>
      <c r="AV8" s="45">
        <v>130.63</v>
      </c>
      <c r="AX8" s="51"/>
      <c r="AZ8" s="76" t="s">
        <v>28</v>
      </c>
      <c r="BA8" s="45">
        <v>2.5</v>
      </c>
      <c r="BB8" s="45">
        <v>800</v>
      </c>
      <c r="BC8" s="51" t="s">
        <v>303</v>
      </c>
      <c r="BE8" s="76" t="s">
        <v>28</v>
      </c>
      <c r="BF8" s="45">
        <v>59.96</v>
      </c>
      <c r="BG8" s="45"/>
      <c r="BH8" s="51"/>
    </row>
    <row r="9" spans="2:61" ht="19">
      <c r="B9" s="76" t="s">
        <v>234</v>
      </c>
      <c r="C9" s="45">
        <v>17.96</v>
      </c>
      <c r="D9" s="45"/>
      <c r="E9" s="79"/>
      <c r="G9" s="76" t="s">
        <v>310</v>
      </c>
      <c r="H9" s="45">
        <v>3200</v>
      </c>
      <c r="I9" s="45"/>
      <c r="J9" s="79"/>
      <c r="K9" s="45"/>
      <c r="L9" s="76" t="s">
        <v>314</v>
      </c>
      <c r="M9" s="45">
        <v>1000</v>
      </c>
      <c r="N9" s="45"/>
      <c r="O9" s="51"/>
      <c r="Q9" s="76" t="s">
        <v>317</v>
      </c>
      <c r="R9" s="45">
        <v>108.41</v>
      </c>
      <c r="S9" s="45"/>
      <c r="T9" s="51"/>
      <c r="V9" s="76" t="s">
        <v>234</v>
      </c>
      <c r="W9" s="45">
        <v>103.65</v>
      </c>
      <c r="X9" s="45"/>
      <c r="Y9" s="51"/>
      <c r="AA9" s="76" t="s">
        <v>234</v>
      </c>
      <c r="AB9" s="45">
        <v>91.45</v>
      </c>
      <c r="AC9" s="45"/>
      <c r="AD9" s="51"/>
      <c r="AF9" s="76" t="s">
        <v>234</v>
      </c>
      <c r="AG9" s="45">
        <v>77.95</v>
      </c>
      <c r="AH9" s="45"/>
      <c r="AI9" s="51"/>
      <c r="AK9" s="76" t="s">
        <v>235</v>
      </c>
      <c r="AL9" s="45">
        <v>86.08</v>
      </c>
      <c r="AM9" s="45"/>
      <c r="AN9" s="51"/>
      <c r="AP9" s="76" t="s">
        <v>347</v>
      </c>
      <c r="AQ9" s="45">
        <v>150</v>
      </c>
      <c r="AR9" s="45"/>
      <c r="AS9" s="51"/>
      <c r="AU9" s="76" t="s">
        <v>349</v>
      </c>
      <c r="AV9" s="45">
        <v>17.600000000000001</v>
      </c>
      <c r="AW9" s="45"/>
      <c r="AX9" s="51"/>
      <c r="AZ9" s="76" t="s">
        <v>234</v>
      </c>
      <c r="BA9" s="45">
        <v>338.7</v>
      </c>
      <c r="BB9" s="45"/>
      <c r="BC9" s="51"/>
      <c r="BE9" s="76" t="s">
        <v>234</v>
      </c>
      <c r="BF9" s="45">
        <v>274.95999999999998</v>
      </c>
      <c r="BG9" s="45"/>
      <c r="BH9" s="51"/>
    </row>
    <row r="10" spans="2:61" ht="19">
      <c r="B10" s="76"/>
      <c r="C10" s="45"/>
      <c r="D10" s="45"/>
      <c r="E10" s="79"/>
      <c r="G10" s="76" t="s">
        <v>234</v>
      </c>
      <c r="H10" s="45">
        <v>54.72</v>
      </c>
      <c r="J10" s="51"/>
      <c r="L10" s="50"/>
      <c r="O10" s="51"/>
      <c r="Q10" s="76" t="s">
        <v>235</v>
      </c>
      <c r="R10" s="45">
        <v>497.45</v>
      </c>
      <c r="T10" s="51"/>
      <c r="V10" s="76" t="s">
        <v>155</v>
      </c>
      <c r="W10" s="45">
        <v>28.95</v>
      </c>
      <c r="Y10" s="51"/>
      <c r="AA10" s="50"/>
      <c r="AD10" s="51"/>
      <c r="AF10" s="50"/>
      <c r="AI10" s="51"/>
      <c r="AK10" s="50"/>
      <c r="AN10" s="51"/>
      <c r="AP10" s="76" t="s">
        <v>234</v>
      </c>
      <c r="AQ10" s="45">
        <v>84.95</v>
      </c>
      <c r="AS10" s="51"/>
      <c r="AU10" s="76" t="s">
        <v>234</v>
      </c>
      <c r="AV10" s="45">
        <v>106.39</v>
      </c>
      <c r="AX10" s="51"/>
      <c r="AZ10" s="76"/>
      <c r="BA10" s="45"/>
      <c r="BC10" s="51"/>
      <c r="BE10" s="76" t="s">
        <v>155</v>
      </c>
      <c r="BF10" s="45">
        <v>175</v>
      </c>
      <c r="BH10" s="51"/>
    </row>
    <row r="11" spans="2:61" ht="19">
      <c r="B11" s="76"/>
      <c r="C11" s="45"/>
      <c r="D11" s="45"/>
      <c r="E11" s="79"/>
      <c r="G11" s="50"/>
      <c r="J11" s="51"/>
      <c r="L11" s="50"/>
      <c r="O11" s="51"/>
      <c r="Q11" s="76" t="s">
        <v>108</v>
      </c>
      <c r="R11" s="45">
        <v>115.8</v>
      </c>
      <c r="S11" t="s">
        <v>336</v>
      </c>
      <c r="T11" s="51"/>
      <c r="V11" s="76" t="s">
        <v>108</v>
      </c>
      <c r="W11" s="45">
        <v>77.89</v>
      </c>
      <c r="X11" t="s">
        <v>336</v>
      </c>
      <c r="Y11" s="51"/>
      <c r="AA11" s="50"/>
      <c r="AD11" s="51"/>
      <c r="AF11" s="50"/>
      <c r="AI11" s="51"/>
      <c r="AK11" s="50"/>
      <c r="AN11" s="51"/>
      <c r="AP11" s="76" t="s">
        <v>155</v>
      </c>
      <c r="AQ11" s="45">
        <v>67.760000000000005</v>
      </c>
      <c r="AS11" s="51"/>
      <c r="AU11" s="76" t="s">
        <v>318</v>
      </c>
      <c r="AV11" s="45">
        <v>3000</v>
      </c>
      <c r="AX11" s="51"/>
      <c r="AZ11" s="76"/>
      <c r="BA11" s="45"/>
      <c r="BC11" s="51"/>
      <c r="BE11" s="76"/>
      <c r="BF11" s="45"/>
      <c r="BH11" s="51"/>
    </row>
    <row r="12" spans="2:61" ht="19">
      <c r="B12" s="76"/>
      <c r="C12" s="45"/>
      <c r="D12" s="45"/>
      <c r="E12" s="79"/>
      <c r="G12" s="50"/>
      <c r="J12" s="51"/>
      <c r="L12" s="50"/>
      <c r="O12" s="51"/>
      <c r="Q12" s="50"/>
      <c r="T12" s="51"/>
      <c r="V12" s="50"/>
      <c r="Y12" s="51"/>
      <c r="AA12" s="50"/>
      <c r="AD12" s="51"/>
      <c r="AF12" s="50"/>
      <c r="AI12" s="51"/>
      <c r="AK12" s="50"/>
      <c r="AN12" s="51"/>
      <c r="AP12" s="76" t="s">
        <v>347</v>
      </c>
      <c r="AQ12" s="45">
        <v>300</v>
      </c>
      <c r="AS12" s="51"/>
      <c r="AU12" s="76"/>
      <c r="AV12" s="45"/>
      <c r="AX12" s="51"/>
      <c r="AZ12" s="76"/>
      <c r="BA12" s="45"/>
      <c r="BC12" s="51"/>
      <c r="BE12" s="76"/>
      <c r="BF12" s="45"/>
      <c r="BH12" s="51"/>
    </row>
    <row r="13" spans="2:61" ht="19">
      <c r="B13" s="76"/>
      <c r="C13" s="45"/>
      <c r="D13" s="45"/>
      <c r="E13" s="79"/>
      <c r="G13" s="50"/>
      <c r="J13" s="51"/>
      <c r="L13" s="50"/>
      <c r="O13" s="51"/>
      <c r="Q13" s="50"/>
      <c r="T13" s="51"/>
      <c r="V13" s="50"/>
      <c r="Y13" s="51"/>
      <c r="AA13" s="50"/>
      <c r="AD13" s="51"/>
      <c r="AF13" s="50"/>
      <c r="AI13" s="51"/>
      <c r="AK13" s="50"/>
      <c r="AN13" s="51"/>
      <c r="AP13" s="50"/>
      <c r="AS13" s="51"/>
      <c r="AU13" s="50"/>
      <c r="AX13" s="51"/>
      <c r="AZ13" s="50"/>
      <c r="BC13" s="51"/>
      <c r="BE13" s="50"/>
      <c r="BH13" s="51"/>
    </row>
    <row r="14" spans="2:61" ht="19">
      <c r="B14" s="76"/>
      <c r="C14" s="45"/>
      <c r="D14" s="45"/>
      <c r="E14" s="79"/>
      <c r="G14" s="50"/>
      <c r="J14" s="51"/>
      <c r="L14" s="50"/>
      <c r="O14" s="51"/>
      <c r="Q14" s="50"/>
      <c r="T14" s="51"/>
      <c r="V14" s="50"/>
      <c r="Y14" s="51"/>
      <c r="AA14" s="50"/>
      <c r="AD14" s="51"/>
      <c r="AF14" s="50"/>
      <c r="AI14" s="51"/>
      <c r="AK14" s="50"/>
      <c r="AN14" s="51"/>
      <c r="AP14" s="50"/>
      <c r="AS14" s="51"/>
      <c r="AU14" s="50"/>
      <c r="AX14" s="51"/>
      <c r="AZ14" s="50"/>
      <c r="BC14" s="51"/>
      <c r="BE14" s="50"/>
      <c r="BH14" s="51"/>
    </row>
    <row r="15" spans="2:61" ht="19">
      <c r="B15" s="46" t="s">
        <v>34</v>
      </c>
      <c r="C15" s="46">
        <v>2078.2800000000002</v>
      </c>
      <c r="D15" s="46">
        <v>2408.5700000000002</v>
      </c>
      <c r="E15" s="80"/>
      <c r="G15" s="46" t="s">
        <v>34</v>
      </c>
      <c r="H15" s="46">
        <v>6052.98</v>
      </c>
      <c r="I15" s="46">
        <v>1333.29</v>
      </c>
      <c r="J15" s="54"/>
      <c r="L15" s="46" t="s">
        <v>34</v>
      </c>
      <c r="M15" s="46">
        <v>3042.29</v>
      </c>
      <c r="N15" s="46">
        <v>235.36</v>
      </c>
      <c r="O15" s="54"/>
      <c r="Q15" s="46" t="s">
        <v>34</v>
      </c>
      <c r="R15" s="46">
        <v>10580.69</v>
      </c>
      <c r="S15" s="46">
        <v>235.36</v>
      </c>
      <c r="T15" s="54"/>
      <c r="V15" s="46" t="s">
        <v>34</v>
      </c>
      <c r="W15" s="46">
        <v>2055.44</v>
      </c>
      <c r="X15" s="46">
        <v>16.010000000000002</v>
      </c>
      <c r="Y15" s="54"/>
      <c r="AA15" s="46" t="s">
        <v>34</v>
      </c>
      <c r="AB15" s="46">
        <v>2200.6</v>
      </c>
      <c r="AC15" s="46">
        <v>715.01</v>
      </c>
      <c r="AD15" s="54"/>
      <c r="AF15" s="46" t="s">
        <v>34</v>
      </c>
      <c r="AG15" s="46">
        <v>2517.92</v>
      </c>
      <c r="AH15" s="46">
        <v>605.05999999999995</v>
      </c>
      <c r="AI15" s="54"/>
      <c r="AK15" s="46" t="s">
        <v>34</v>
      </c>
      <c r="AL15" s="46">
        <v>2069.2800000000002</v>
      </c>
      <c r="AM15" s="46">
        <v>1300</v>
      </c>
      <c r="AN15" s="54"/>
      <c r="AP15" s="46" t="s">
        <v>34</v>
      </c>
      <c r="AQ15" s="46">
        <v>2462.9899999999998</v>
      </c>
      <c r="AR15" s="46">
        <v>706.74</v>
      </c>
      <c r="AS15" s="54"/>
      <c r="AU15" s="46" t="s">
        <v>34</v>
      </c>
      <c r="AV15" s="46">
        <v>5084.1400000000003</v>
      </c>
      <c r="AW15" s="77">
        <v>1067.6600000000001</v>
      </c>
      <c r="AX15" s="54"/>
      <c r="AZ15" s="46" t="s">
        <v>34</v>
      </c>
      <c r="BA15" s="46">
        <v>2079.91</v>
      </c>
      <c r="BB15" s="77">
        <v>3376.9</v>
      </c>
      <c r="BC15" s="54"/>
      <c r="BE15" s="46" t="s">
        <v>34</v>
      </c>
      <c r="BF15" s="46">
        <v>2420.5300000000002</v>
      </c>
      <c r="BG15" s="77">
        <v>5.01</v>
      </c>
      <c r="BH15" s="54"/>
    </row>
    <row r="16" spans="2:61">
      <c r="E16">
        <v>4486</v>
      </c>
      <c r="J16">
        <v>7386</v>
      </c>
      <c r="O16">
        <v>3277</v>
      </c>
      <c r="T16">
        <v>10816</v>
      </c>
      <c r="Y16">
        <v>2071</v>
      </c>
      <c r="AD16">
        <v>2915</v>
      </c>
      <c r="AI16">
        <v>3122</v>
      </c>
      <c r="AN16">
        <v>3369</v>
      </c>
      <c r="AS16">
        <v>3169</v>
      </c>
      <c r="AX16">
        <v>6151</v>
      </c>
      <c r="BC16">
        <v>5456</v>
      </c>
      <c r="BH16">
        <v>2425</v>
      </c>
      <c r="BI16" s="94">
        <v>54643</v>
      </c>
    </row>
    <row r="20" spans="2:60">
      <c r="B20" s="335">
        <v>2021</v>
      </c>
    </row>
    <row r="21" spans="2:60" ht="19">
      <c r="B21" s="74" t="s">
        <v>35</v>
      </c>
      <c r="C21" s="75" t="s">
        <v>46</v>
      </c>
      <c r="D21" s="75" t="s">
        <v>141</v>
      </c>
      <c r="E21" s="49"/>
      <c r="G21" s="74" t="s">
        <v>36</v>
      </c>
      <c r="H21" s="75" t="s">
        <v>46</v>
      </c>
      <c r="I21" s="78" t="s">
        <v>141</v>
      </c>
      <c r="J21" s="49"/>
      <c r="L21" s="74" t="s">
        <v>37</v>
      </c>
      <c r="M21" s="75" t="s">
        <v>46</v>
      </c>
      <c r="N21" s="78" t="s">
        <v>141</v>
      </c>
      <c r="O21" s="49"/>
      <c r="Q21" s="74" t="s">
        <v>0</v>
      </c>
      <c r="R21" s="75" t="s">
        <v>46</v>
      </c>
      <c r="S21" s="78" t="s">
        <v>141</v>
      </c>
      <c r="T21" s="49"/>
      <c r="V21" s="74" t="s">
        <v>2</v>
      </c>
      <c r="W21" s="75" t="s">
        <v>46</v>
      </c>
      <c r="X21" s="78" t="s">
        <v>141</v>
      </c>
      <c r="Y21" s="49"/>
      <c r="AA21" s="74" t="s">
        <v>3</v>
      </c>
      <c r="AB21" s="75" t="s">
        <v>46</v>
      </c>
      <c r="AC21" s="78" t="s">
        <v>141</v>
      </c>
      <c r="AD21" s="49"/>
      <c r="AF21" s="74" t="s">
        <v>4</v>
      </c>
      <c r="AG21" s="75" t="s">
        <v>46</v>
      </c>
      <c r="AH21" s="78" t="s">
        <v>141</v>
      </c>
      <c r="AI21" s="49"/>
      <c r="AK21" s="74" t="s">
        <v>5</v>
      </c>
      <c r="AL21" s="75" t="s">
        <v>46</v>
      </c>
      <c r="AM21" s="78" t="s">
        <v>141</v>
      </c>
      <c r="AN21" s="49"/>
      <c r="AP21" s="74" t="s">
        <v>6</v>
      </c>
      <c r="AQ21" s="75" t="s">
        <v>46</v>
      </c>
      <c r="AR21" s="78" t="s">
        <v>141</v>
      </c>
      <c r="AS21" s="49"/>
      <c r="AU21" s="74" t="s">
        <v>7</v>
      </c>
      <c r="AV21" s="75" t="s">
        <v>46</v>
      </c>
      <c r="AW21" s="78" t="s">
        <v>141</v>
      </c>
      <c r="AX21" s="49"/>
      <c r="AZ21" s="74" t="s">
        <v>8</v>
      </c>
      <c r="BA21" s="75" t="s">
        <v>46</v>
      </c>
      <c r="BB21" s="78" t="s">
        <v>141</v>
      </c>
      <c r="BC21" s="49"/>
      <c r="BE21" s="74" t="s">
        <v>9</v>
      </c>
      <c r="BF21" s="75" t="s">
        <v>46</v>
      </c>
      <c r="BG21" s="78" t="s">
        <v>141</v>
      </c>
      <c r="BH21" s="49"/>
    </row>
    <row r="22" spans="2:60" ht="19">
      <c r="B22" s="76" t="s">
        <v>191</v>
      </c>
      <c r="C22" s="45">
        <v>1556.92</v>
      </c>
      <c r="D22" s="45">
        <v>5.01</v>
      </c>
      <c r="E22" s="79" t="s">
        <v>370</v>
      </c>
      <c r="F22" s="45"/>
      <c r="G22" s="76" t="s">
        <v>191</v>
      </c>
      <c r="H22" s="45">
        <v>1574.9</v>
      </c>
      <c r="I22" s="45">
        <v>729.01</v>
      </c>
      <c r="J22" s="79" t="s">
        <v>224</v>
      </c>
      <c r="K22" s="45"/>
      <c r="L22" s="76" t="s">
        <v>191</v>
      </c>
      <c r="M22" s="45">
        <v>1580.43</v>
      </c>
      <c r="N22" s="45">
        <v>6639.44</v>
      </c>
      <c r="O22" s="79" t="s">
        <v>224</v>
      </c>
      <c r="P22" s="45"/>
      <c r="Q22" s="76" t="s">
        <v>191</v>
      </c>
      <c r="R22" s="45">
        <v>1568</v>
      </c>
      <c r="S22" s="45">
        <v>35.07</v>
      </c>
      <c r="T22" s="79" t="s">
        <v>224</v>
      </c>
      <c r="U22" s="45"/>
      <c r="V22" s="76" t="s">
        <v>191</v>
      </c>
      <c r="W22" s="45">
        <v>1580.21</v>
      </c>
      <c r="X22" s="45">
        <v>1968.71</v>
      </c>
      <c r="Y22" s="79" t="s">
        <v>224</v>
      </c>
      <c r="Z22" s="45"/>
      <c r="AA22" s="76" t="s">
        <v>191</v>
      </c>
      <c r="AB22" s="45">
        <v>1583.09</v>
      </c>
      <c r="AC22" s="45">
        <v>135.52000000000001</v>
      </c>
      <c r="AD22" s="79" t="s">
        <v>224</v>
      </c>
      <c r="AE22" s="45"/>
      <c r="AF22" s="76" t="s">
        <v>191</v>
      </c>
      <c r="AG22" s="45">
        <v>1587.72</v>
      </c>
      <c r="AH22" s="45">
        <v>162.11000000000001</v>
      </c>
      <c r="AI22" s="79" t="s">
        <v>224</v>
      </c>
      <c r="AJ22" s="45"/>
      <c r="AK22" s="76" t="s">
        <v>191</v>
      </c>
      <c r="AL22" s="45">
        <v>1589.61</v>
      </c>
      <c r="AM22" s="45">
        <v>210.57</v>
      </c>
      <c r="AN22" s="79" t="s">
        <v>224</v>
      </c>
      <c r="AO22" s="45"/>
      <c r="AP22" s="76" t="s">
        <v>191</v>
      </c>
      <c r="AQ22" s="45">
        <v>1604.84</v>
      </c>
      <c r="AR22" s="45">
        <v>220.79</v>
      </c>
      <c r="AS22" s="79" t="s">
        <v>224</v>
      </c>
      <c r="AT22" s="45"/>
      <c r="AU22" s="76" t="s">
        <v>191</v>
      </c>
      <c r="AV22" s="45">
        <v>1598.66</v>
      </c>
      <c r="AW22" s="45">
        <v>23.37</v>
      </c>
      <c r="AX22" s="79" t="s">
        <v>224</v>
      </c>
      <c r="AY22" s="45"/>
      <c r="AZ22" s="76" t="s">
        <v>191</v>
      </c>
      <c r="BA22" s="45">
        <v>1591.72</v>
      </c>
      <c r="BB22" s="45">
        <v>10.18</v>
      </c>
      <c r="BC22" s="79" t="s">
        <v>224</v>
      </c>
      <c r="BD22" s="45"/>
      <c r="BE22" s="76" t="s">
        <v>191</v>
      </c>
      <c r="BF22" s="45">
        <v>1591.29</v>
      </c>
      <c r="BG22" s="45">
        <v>693.46</v>
      </c>
      <c r="BH22" s="79" t="s">
        <v>224</v>
      </c>
    </row>
    <row r="23" spans="2:60" ht="19">
      <c r="B23" s="76" t="s">
        <v>155</v>
      </c>
      <c r="C23" s="45">
        <v>509.07</v>
      </c>
      <c r="D23" s="45"/>
      <c r="E23" s="79"/>
      <c r="F23" s="45"/>
      <c r="G23" s="76" t="s">
        <v>155</v>
      </c>
      <c r="H23" s="45">
        <v>3876.44</v>
      </c>
      <c r="I23" s="45">
        <v>1413.42</v>
      </c>
      <c r="J23" s="79" t="s">
        <v>248</v>
      </c>
      <c r="K23" s="45"/>
      <c r="L23" s="76" t="s">
        <v>155</v>
      </c>
      <c r="M23" s="45">
        <v>216.26</v>
      </c>
      <c r="N23" s="45"/>
      <c r="O23" s="79"/>
      <c r="P23" s="45"/>
      <c r="Q23" s="76" t="s">
        <v>249</v>
      </c>
      <c r="R23" s="45">
        <v>73.89</v>
      </c>
      <c r="S23" s="45">
        <v>306</v>
      </c>
      <c r="T23" s="79" t="s">
        <v>385</v>
      </c>
      <c r="U23" s="45"/>
      <c r="V23" s="76" t="s">
        <v>249</v>
      </c>
      <c r="W23" s="45">
        <v>190.4</v>
      </c>
      <c r="X23" s="45">
        <v>100</v>
      </c>
      <c r="Y23" s="79" t="s">
        <v>389</v>
      </c>
      <c r="Z23" s="45"/>
      <c r="AA23" s="76" t="s">
        <v>249</v>
      </c>
      <c r="AB23" s="45">
        <v>127.06</v>
      </c>
      <c r="AC23" s="45">
        <v>4000</v>
      </c>
      <c r="AD23" s="79" t="s">
        <v>303</v>
      </c>
      <c r="AE23" s="45"/>
      <c r="AF23" s="76" t="s">
        <v>155</v>
      </c>
      <c r="AG23" s="45">
        <v>490.5</v>
      </c>
      <c r="AH23" s="45">
        <v>1500</v>
      </c>
      <c r="AI23" s="79" t="s">
        <v>303</v>
      </c>
      <c r="AJ23" s="45"/>
      <c r="AK23" s="76" t="s">
        <v>155</v>
      </c>
      <c r="AL23" s="45">
        <v>118.48</v>
      </c>
      <c r="AM23" s="45"/>
      <c r="AN23" s="79"/>
      <c r="AO23" s="45"/>
      <c r="AP23" s="76" t="s">
        <v>155</v>
      </c>
      <c r="AQ23" s="45">
        <v>2227.9</v>
      </c>
      <c r="AR23" s="45">
        <v>500</v>
      </c>
      <c r="AS23" s="79" t="s">
        <v>401</v>
      </c>
      <c r="AT23" s="45"/>
      <c r="AU23" s="76" t="s">
        <v>395</v>
      </c>
      <c r="AV23" s="45">
        <v>186.26</v>
      </c>
      <c r="AW23" s="45">
        <v>1000</v>
      </c>
      <c r="AX23" s="79" t="s">
        <v>401</v>
      </c>
      <c r="AY23" s="45"/>
      <c r="AZ23" s="76" t="s">
        <v>395</v>
      </c>
      <c r="BA23" s="45">
        <v>174.67</v>
      </c>
      <c r="BB23" s="45">
        <v>500</v>
      </c>
      <c r="BC23" s="79" t="s">
        <v>401</v>
      </c>
      <c r="BD23" s="45"/>
      <c r="BE23" s="76" t="s">
        <v>395</v>
      </c>
      <c r="BF23" s="45">
        <v>163.62</v>
      </c>
      <c r="BG23" s="45"/>
      <c r="BH23" s="79"/>
    </row>
    <row r="24" spans="2:60" ht="19">
      <c r="B24" s="76" t="s">
        <v>248</v>
      </c>
      <c r="C24" s="45">
        <v>0.96</v>
      </c>
      <c r="D24" s="45"/>
      <c r="E24" s="79"/>
      <c r="F24" s="45"/>
      <c r="G24" s="76" t="s">
        <v>249</v>
      </c>
      <c r="H24" s="45">
        <v>59.78</v>
      </c>
      <c r="I24" s="45"/>
      <c r="J24" s="79"/>
      <c r="K24" s="45"/>
      <c r="L24" s="76" t="s">
        <v>249</v>
      </c>
      <c r="M24" s="45">
        <v>90.69</v>
      </c>
      <c r="N24" s="45"/>
      <c r="O24" s="79"/>
      <c r="P24" s="45"/>
      <c r="Q24" s="76" t="s">
        <v>248</v>
      </c>
      <c r="R24" s="45">
        <v>600</v>
      </c>
      <c r="S24" s="45"/>
      <c r="T24" s="79"/>
      <c r="U24" s="45"/>
      <c r="V24" s="76" t="s">
        <v>248</v>
      </c>
      <c r="W24" s="45">
        <v>600</v>
      </c>
      <c r="X24" s="45"/>
      <c r="Y24" s="79"/>
      <c r="Z24" s="45"/>
      <c r="AA24" s="76" t="s">
        <v>248</v>
      </c>
      <c r="AB24" s="45">
        <v>600</v>
      </c>
      <c r="AC24" s="45"/>
      <c r="AD24" s="79"/>
      <c r="AE24" s="45"/>
      <c r="AF24" s="76" t="s">
        <v>248</v>
      </c>
      <c r="AG24" s="45">
        <v>600</v>
      </c>
      <c r="AH24" s="45"/>
      <c r="AI24" s="79"/>
      <c r="AJ24" s="45"/>
      <c r="AK24" s="76" t="s">
        <v>248</v>
      </c>
      <c r="AL24" s="45">
        <v>1000</v>
      </c>
      <c r="AM24" s="45"/>
      <c r="AN24" s="79"/>
      <c r="AO24" s="45"/>
      <c r="AP24" s="76" t="s">
        <v>395</v>
      </c>
      <c r="AQ24" s="45">
        <v>140.51</v>
      </c>
      <c r="AR24" s="45"/>
      <c r="AS24" s="79"/>
      <c r="AT24" s="45"/>
      <c r="AU24" s="76" t="s">
        <v>108</v>
      </c>
      <c r="AV24" s="45">
        <v>114.29</v>
      </c>
      <c r="AW24" s="45">
        <v>100</v>
      </c>
      <c r="AX24" s="79" t="s">
        <v>404</v>
      </c>
      <c r="AY24" s="45"/>
      <c r="AZ24" s="76" t="s">
        <v>108</v>
      </c>
      <c r="BA24" s="45">
        <v>90.63</v>
      </c>
      <c r="BB24" s="45">
        <v>500</v>
      </c>
      <c r="BC24" s="79" t="s">
        <v>401</v>
      </c>
      <c r="BD24" s="45"/>
      <c r="BE24" s="76" t="s">
        <v>108</v>
      </c>
      <c r="BF24" s="45">
        <v>62.02</v>
      </c>
      <c r="BG24" s="45"/>
      <c r="BH24" s="79"/>
    </row>
    <row r="25" spans="2:60" ht="19">
      <c r="B25" s="76" t="s">
        <v>249</v>
      </c>
      <c r="C25" s="45">
        <v>258.69</v>
      </c>
      <c r="D25" s="45"/>
      <c r="E25" s="79"/>
      <c r="F25" s="45"/>
      <c r="G25" s="76" t="s">
        <v>108</v>
      </c>
      <c r="H25" s="45">
        <v>126.96</v>
      </c>
      <c r="I25" s="45"/>
      <c r="J25" s="79"/>
      <c r="K25" s="45"/>
      <c r="L25" s="76" t="s">
        <v>248</v>
      </c>
      <c r="M25" s="45">
        <v>600</v>
      </c>
      <c r="N25" s="45"/>
      <c r="O25" s="79"/>
      <c r="P25" s="45"/>
      <c r="Q25" s="76" t="s">
        <v>108</v>
      </c>
      <c r="R25" s="45">
        <v>89</v>
      </c>
      <c r="S25" s="45"/>
      <c r="T25" s="79"/>
      <c r="U25" s="45"/>
      <c r="V25" s="76" t="s">
        <v>108</v>
      </c>
      <c r="W25" s="45">
        <v>102.13</v>
      </c>
      <c r="X25" s="45"/>
      <c r="Y25" s="79"/>
      <c r="Z25" s="45"/>
      <c r="AA25" s="76" t="s">
        <v>108</v>
      </c>
      <c r="AB25" s="45">
        <v>74.930000000000007</v>
      </c>
      <c r="AC25" s="45"/>
      <c r="AD25" s="79"/>
      <c r="AE25" s="45"/>
      <c r="AF25" s="76" t="s">
        <v>395</v>
      </c>
      <c r="AG25" s="45">
        <v>119.53</v>
      </c>
      <c r="AH25" s="45"/>
      <c r="AI25" s="79"/>
      <c r="AJ25" s="45"/>
      <c r="AK25" s="76" t="s">
        <v>395</v>
      </c>
      <c r="AL25" s="45">
        <v>103.07</v>
      </c>
      <c r="AM25" s="45"/>
      <c r="AN25" s="79"/>
      <c r="AO25" s="45"/>
      <c r="AP25" s="76" t="s">
        <v>108</v>
      </c>
      <c r="AQ25" s="45">
        <v>132.04</v>
      </c>
      <c r="AR25" s="45"/>
      <c r="AS25" s="79"/>
      <c r="AT25" s="45"/>
      <c r="AU25" s="76" t="s">
        <v>234</v>
      </c>
      <c r="AV25" s="45">
        <v>375.23</v>
      </c>
      <c r="AW25" s="45"/>
      <c r="AX25" s="79"/>
      <c r="AY25" s="45"/>
      <c r="AZ25" s="76" t="s">
        <v>234</v>
      </c>
      <c r="BA25" s="45">
        <v>256.83</v>
      </c>
      <c r="BB25" s="45"/>
      <c r="BC25" s="79"/>
      <c r="BD25" s="45"/>
      <c r="BE25" s="76" t="s">
        <v>234</v>
      </c>
      <c r="BF25" s="45">
        <v>81.45</v>
      </c>
      <c r="BG25" s="45"/>
      <c r="BH25" s="79"/>
    </row>
    <row r="26" spans="2:60" ht="19">
      <c r="B26" s="76" t="s">
        <v>368</v>
      </c>
      <c r="C26" s="45">
        <v>86.67</v>
      </c>
      <c r="D26" s="45"/>
      <c r="E26" s="79"/>
      <c r="F26" s="45"/>
      <c r="G26" s="76" t="s">
        <v>234</v>
      </c>
      <c r="H26" s="45">
        <v>188.79</v>
      </c>
      <c r="I26" s="45"/>
      <c r="J26" s="79"/>
      <c r="K26" s="45"/>
      <c r="L26" s="76" t="s">
        <v>108</v>
      </c>
      <c r="M26" s="45">
        <v>110.51</v>
      </c>
      <c r="N26" s="45"/>
      <c r="O26" s="79"/>
      <c r="P26" s="45"/>
      <c r="Q26" s="76" t="s">
        <v>235</v>
      </c>
      <c r="R26" s="45">
        <v>1000</v>
      </c>
      <c r="S26" s="45"/>
      <c r="T26" s="79"/>
      <c r="U26" s="45"/>
      <c r="V26" s="76" t="s">
        <v>235</v>
      </c>
      <c r="W26" s="45">
        <v>1000</v>
      </c>
      <c r="X26" s="45"/>
      <c r="Y26" s="79"/>
      <c r="Z26" s="45"/>
      <c r="AA26" s="76" t="s">
        <v>235</v>
      </c>
      <c r="AB26" s="45">
        <v>1000</v>
      </c>
      <c r="AC26" s="45"/>
      <c r="AD26" s="79"/>
      <c r="AE26" s="45"/>
      <c r="AF26" s="76" t="s">
        <v>108</v>
      </c>
      <c r="AG26" s="45">
        <v>90.98</v>
      </c>
      <c r="AH26" s="45"/>
      <c r="AI26" s="79"/>
      <c r="AJ26" s="45"/>
      <c r="AK26" s="76" t="s">
        <v>108</v>
      </c>
      <c r="AL26" s="45">
        <v>145.38</v>
      </c>
      <c r="AM26" s="45"/>
      <c r="AN26" s="79"/>
      <c r="AO26" s="45"/>
      <c r="AP26" s="76" t="s">
        <v>234</v>
      </c>
      <c r="AQ26" s="45">
        <v>268.52</v>
      </c>
      <c r="AR26" s="45"/>
      <c r="AS26" s="79"/>
      <c r="AT26" s="45"/>
      <c r="AU26" s="76" t="s">
        <v>235</v>
      </c>
      <c r="AV26" s="45">
        <v>1000</v>
      </c>
      <c r="AW26" s="45"/>
      <c r="AX26" s="79"/>
      <c r="AY26" s="45"/>
      <c r="AZ26" s="76" t="s">
        <v>235</v>
      </c>
      <c r="BA26" s="45">
        <v>1000</v>
      </c>
      <c r="BB26" s="45"/>
      <c r="BC26" s="79"/>
      <c r="BD26" s="45"/>
      <c r="BE26" s="76" t="s">
        <v>235</v>
      </c>
      <c r="BF26" s="45">
        <v>1000</v>
      </c>
      <c r="BG26" s="45"/>
      <c r="BH26" s="79"/>
    </row>
    <row r="27" spans="2:60" ht="19">
      <c r="B27" s="76" t="s">
        <v>234</v>
      </c>
      <c r="C27" s="45">
        <v>282.45999999999998</v>
      </c>
      <c r="D27" s="45"/>
      <c r="E27" s="79"/>
      <c r="F27" s="45"/>
      <c r="G27" s="76" t="s">
        <v>369</v>
      </c>
      <c r="H27" s="45">
        <v>132</v>
      </c>
      <c r="I27" s="45"/>
      <c r="J27" s="79"/>
      <c r="K27" s="45"/>
      <c r="L27" s="76" t="s">
        <v>235</v>
      </c>
      <c r="M27" s="45">
        <v>1000</v>
      </c>
      <c r="N27" s="45"/>
      <c r="O27" s="79"/>
      <c r="P27" s="45"/>
      <c r="Q27" s="76" t="s">
        <v>234</v>
      </c>
      <c r="R27" s="45">
        <v>205.39</v>
      </c>
      <c r="S27" s="45"/>
      <c r="T27" s="79"/>
      <c r="U27" s="45"/>
      <c r="V27" s="76" t="s">
        <v>234</v>
      </c>
      <c r="W27" s="45">
        <v>318.04000000000002</v>
      </c>
      <c r="X27" s="45"/>
      <c r="Y27" s="79"/>
      <c r="Z27" s="45"/>
      <c r="AA27" s="76" t="s">
        <v>234</v>
      </c>
      <c r="AB27" s="45">
        <v>262.26</v>
      </c>
      <c r="AC27" s="45"/>
      <c r="AD27" s="79"/>
      <c r="AE27" s="45"/>
      <c r="AF27" s="76" t="s">
        <v>234</v>
      </c>
      <c r="AG27" s="45">
        <v>250.49</v>
      </c>
      <c r="AH27" s="45"/>
      <c r="AI27" s="79"/>
      <c r="AJ27" s="45"/>
      <c r="AK27" s="76" t="s">
        <v>234</v>
      </c>
      <c r="AL27" s="45">
        <v>320.73</v>
      </c>
      <c r="AM27" s="45"/>
      <c r="AN27" s="79"/>
      <c r="AO27" s="45"/>
      <c r="AP27" s="76" t="s">
        <v>235</v>
      </c>
      <c r="AQ27" s="45">
        <v>925.5</v>
      </c>
      <c r="AR27" s="45"/>
      <c r="AS27" s="79"/>
      <c r="AT27" s="45"/>
      <c r="AU27" s="76" t="s">
        <v>403</v>
      </c>
      <c r="AV27" s="45">
        <v>90</v>
      </c>
      <c r="AW27" s="45"/>
      <c r="AX27" s="79"/>
      <c r="AY27" s="45"/>
      <c r="AZ27" s="76" t="s">
        <v>411</v>
      </c>
      <c r="BA27" s="45">
        <v>39.94</v>
      </c>
      <c r="BB27" s="45"/>
      <c r="BC27" s="79"/>
      <c r="BD27" s="45"/>
      <c r="BE27" s="76" t="s">
        <v>155</v>
      </c>
      <c r="BF27" s="45">
        <v>554.01</v>
      </c>
      <c r="BG27" s="45"/>
      <c r="BH27" s="79"/>
    </row>
    <row r="28" spans="2:60" ht="19">
      <c r="B28" s="76" t="s">
        <v>369</v>
      </c>
      <c r="C28" s="45">
        <v>131</v>
      </c>
      <c r="D28" s="45"/>
      <c r="E28" s="79"/>
      <c r="F28" s="45"/>
      <c r="G28" s="76"/>
      <c r="H28" s="45"/>
      <c r="I28" s="45"/>
      <c r="J28" s="79"/>
      <c r="K28" s="45"/>
      <c r="L28" s="76" t="s">
        <v>234</v>
      </c>
      <c r="M28" s="45">
        <v>180.68</v>
      </c>
      <c r="N28" s="45"/>
      <c r="O28" s="79"/>
      <c r="P28" s="45"/>
      <c r="Q28" s="45"/>
      <c r="R28" s="45"/>
      <c r="S28" s="45"/>
      <c r="T28" s="79"/>
      <c r="U28" s="45"/>
      <c r="V28" s="76" t="s">
        <v>388</v>
      </c>
      <c r="W28" s="45">
        <v>90</v>
      </c>
      <c r="X28" s="45"/>
      <c r="Y28" s="79"/>
      <c r="Z28" s="45"/>
      <c r="AA28" s="76" t="s">
        <v>318</v>
      </c>
      <c r="AB28" s="45">
        <v>3000</v>
      </c>
      <c r="AC28" s="45"/>
      <c r="AD28" s="79"/>
      <c r="AE28" s="45"/>
      <c r="AF28" s="76" t="s">
        <v>235</v>
      </c>
      <c r="AG28" s="45">
        <v>1000</v>
      </c>
      <c r="AH28" s="45"/>
      <c r="AI28" s="79"/>
      <c r="AJ28" s="45"/>
      <c r="AK28" s="76" t="s">
        <v>235</v>
      </c>
      <c r="AL28" s="45">
        <v>1000</v>
      </c>
      <c r="AM28" s="45"/>
      <c r="AN28" s="79"/>
      <c r="AO28" s="45"/>
      <c r="AP28" s="76"/>
      <c r="AQ28" s="45"/>
      <c r="AR28" s="45"/>
      <c r="AS28" s="79"/>
      <c r="AT28" s="45"/>
      <c r="AU28" s="76"/>
      <c r="AV28" s="45"/>
      <c r="AW28" s="45"/>
      <c r="AX28" s="79"/>
      <c r="AY28" s="45"/>
      <c r="AZ28" s="76" t="s">
        <v>155</v>
      </c>
      <c r="BA28" s="45">
        <v>978.99</v>
      </c>
      <c r="BB28" s="45"/>
      <c r="BC28" s="79"/>
      <c r="BD28" s="45"/>
      <c r="BE28" s="46"/>
      <c r="BF28" s="45"/>
      <c r="BG28" s="45"/>
      <c r="BH28" s="79"/>
    </row>
    <row r="29" spans="2:60" ht="19">
      <c r="B29" s="76"/>
      <c r="C29" s="45"/>
      <c r="D29" s="45"/>
      <c r="E29" s="79"/>
      <c r="F29" s="45"/>
      <c r="G29" s="76"/>
      <c r="H29" s="45"/>
      <c r="I29" s="45"/>
      <c r="J29" s="79"/>
      <c r="K29" s="45"/>
      <c r="L29" s="76"/>
      <c r="M29" s="45"/>
      <c r="N29" s="45"/>
      <c r="O29" s="79"/>
      <c r="P29" s="45"/>
      <c r="Q29" s="76"/>
      <c r="R29" s="45"/>
      <c r="S29" s="45"/>
      <c r="T29" s="79"/>
      <c r="U29" s="45"/>
      <c r="V29" s="76"/>
      <c r="W29" s="45"/>
      <c r="X29" s="45"/>
      <c r="Y29" s="79"/>
      <c r="Z29" s="45"/>
      <c r="AA29" s="76"/>
      <c r="AB29" s="45"/>
      <c r="AC29" s="45"/>
      <c r="AD29" s="79"/>
      <c r="AE29" s="45"/>
      <c r="AF29" s="76" t="s">
        <v>363</v>
      </c>
      <c r="AG29" s="45">
        <v>1000</v>
      </c>
      <c r="AH29" s="45"/>
      <c r="AI29" s="79"/>
      <c r="AJ29" s="45"/>
      <c r="AK29" s="76" t="s">
        <v>396</v>
      </c>
      <c r="AL29" s="45">
        <v>13</v>
      </c>
      <c r="AM29" s="45"/>
      <c r="AN29" s="79"/>
      <c r="AO29" s="45"/>
      <c r="AP29" s="76"/>
      <c r="AQ29" s="45"/>
      <c r="AR29" s="45"/>
      <c r="AS29" s="79"/>
      <c r="AT29" s="45"/>
      <c r="AU29" s="76"/>
      <c r="AV29" s="45"/>
      <c r="AW29" s="45"/>
      <c r="AX29" s="79"/>
      <c r="AY29" s="45"/>
      <c r="AZ29" s="76" t="s">
        <v>28</v>
      </c>
      <c r="BA29" s="45">
        <v>145</v>
      </c>
      <c r="BB29" s="45"/>
      <c r="BC29" s="79"/>
      <c r="BD29" s="45"/>
      <c r="BE29" s="76"/>
      <c r="BF29" s="45"/>
      <c r="BG29" s="45"/>
      <c r="BH29" s="79"/>
    </row>
    <row r="30" spans="2:60" ht="19">
      <c r="B30" s="76"/>
      <c r="C30" s="45"/>
      <c r="D30" s="45"/>
      <c r="E30" s="79"/>
      <c r="F30" s="45"/>
      <c r="G30" s="76"/>
      <c r="H30" s="45"/>
      <c r="I30" s="45"/>
      <c r="J30" s="79"/>
      <c r="K30" s="45"/>
      <c r="L30" s="76"/>
      <c r="M30" s="45"/>
      <c r="N30" s="45"/>
      <c r="O30" s="79"/>
      <c r="P30" s="45"/>
      <c r="Q30" s="76"/>
      <c r="R30" s="45"/>
      <c r="S30" s="45"/>
      <c r="T30" s="79"/>
      <c r="U30" s="45"/>
      <c r="V30" s="76"/>
      <c r="W30" s="45"/>
      <c r="X30" s="45"/>
      <c r="Y30" s="79"/>
      <c r="Z30" s="45"/>
      <c r="AA30" s="76"/>
      <c r="AB30" s="45"/>
      <c r="AC30" s="45"/>
      <c r="AD30" s="79"/>
      <c r="AE30" s="45"/>
      <c r="AF30" s="76"/>
      <c r="AG30" s="45"/>
      <c r="AH30" s="45"/>
      <c r="AI30" s="79"/>
      <c r="AJ30" s="45"/>
      <c r="AK30" s="76" t="s">
        <v>397</v>
      </c>
      <c r="AL30" s="45">
        <v>1000</v>
      </c>
      <c r="AM30" s="45"/>
      <c r="AN30" s="79"/>
      <c r="AO30" s="45"/>
      <c r="AP30" s="76"/>
      <c r="AQ30" s="45"/>
      <c r="AR30" s="45"/>
      <c r="AS30" s="79"/>
      <c r="AT30" s="45"/>
      <c r="AU30" s="76"/>
      <c r="AV30" s="45"/>
      <c r="AW30" s="45"/>
      <c r="AX30" s="79"/>
      <c r="AY30" s="45"/>
      <c r="AZ30" s="76"/>
      <c r="BA30" s="45"/>
      <c r="BB30" s="45"/>
      <c r="BC30" s="79"/>
      <c r="BD30" s="45"/>
      <c r="BE30" s="76"/>
      <c r="BF30" s="45"/>
      <c r="BG30" s="45"/>
      <c r="BH30" s="79"/>
    </row>
    <row r="31" spans="2:60" ht="19">
      <c r="B31" s="76"/>
      <c r="C31" s="45"/>
      <c r="D31" s="45"/>
      <c r="E31" s="79"/>
      <c r="F31" s="45"/>
      <c r="G31" s="76"/>
      <c r="H31" s="45"/>
      <c r="I31" s="45"/>
      <c r="J31" s="79"/>
      <c r="K31" s="45"/>
      <c r="L31" s="76"/>
      <c r="M31" s="45"/>
      <c r="N31" s="45"/>
      <c r="O31" s="79"/>
      <c r="P31" s="45"/>
      <c r="Q31" s="76"/>
      <c r="R31" s="45"/>
      <c r="S31" s="45"/>
      <c r="T31" s="79"/>
      <c r="U31" s="45"/>
      <c r="V31" s="76"/>
      <c r="W31" s="45"/>
      <c r="X31" s="45"/>
      <c r="Y31" s="79"/>
      <c r="Z31" s="45"/>
      <c r="AA31" s="76"/>
      <c r="AB31" s="45"/>
      <c r="AC31" s="45"/>
      <c r="AD31" s="79"/>
      <c r="AE31" s="45"/>
      <c r="AF31" s="76"/>
      <c r="AG31" s="45"/>
      <c r="AH31" s="45"/>
      <c r="AI31" s="79"/>
      <c r="AJ31" s="45"/>
      <c r="AK31" s="76" t="s">
        <v>400</v>
      </c>
      <c r="AL31" s="45">
        <v>1000</v>
      </c>
      <c r="AM31" s="45"/>
      <c r="AN31" s="79"/>
      <c r="AO31" s="45"/>
      <c r="AP31" s="76"/>
      <c r="AQ31" s="45"/>
      <c r="AR31" s="45"/>
      <c r="AS31" s="79"/>
      <c r="AT31" s="45"/>
      <c r="AU31" s="83"/>
      <c r="AV31" s="45"/>
      <c r="AW31" s="45"/>
      <c r="AX31" s="79"/>
      <c r="AY31" s="45"/>
      <c r="AZ31" s="83"/>
      <c r="BA31" s="45"/>
      <c r="BB31" s="45"/>
      <c r="BC31" s="79"/>
      <c r="BD31" s="45"/>
      <c r="BE31" s="83"/>
      <c r="BF31" s="45"/>
      <c r="BG31" s="45"/>
      <c r="BH31" s="79"/>
    </row>
    <row r="32" spans="2:60" ht="19">
      <c r="B32" s="46" t="s">
        <v>34</v>
      </c>
      <c r="C32" s="46">
        <v>2825.77</v>
      </c>
      <c r="D32" s="77">
        <v>5.01</v>
      </c>
      <c r="E32" s="80"/>
      <c r="F32" s="45"/>
      <c r="G32" s="46" t="s">
        <v>34</v>
      </c>
      <c r="H32" s="46">
        <v>5958.87</v>
      </c>
      <c r="I32" s="77">
        <v>2142.4299999999998</v>
      </c>
      <c r="J32" s="80"/>
      <c r="K32" s="45"/>
      <c r="L32" s="46" t="s">
        <v>34</v>
      </c>
      <c r="M32" s="46">
        <v>3778.57</v>
      </c>
      <c r="N32" s="77">
        <v>6639.44</v>
      </c>
      <c r="O32" s="80"/>
      <c r="P32" s="45"/>
      <c r="Q32" s="46" t="s">
        <v>34</v>
      </c>
      <c r="R32" s="46">
        <v>3536.28</v>
      </c>
      <c r="S32" s="77">
        <v>341.07</v>
      </c>
      <c r="T32" s="80"/>
      <c r="U32" s="45"/>
      <c r="V32" s="46" t="s">
        <v>34</v>
      </c>
      <c r="W32" s="46">
        <v>3880.78</v>
      </c>
      <c r="X32" s="46">
        <v>2068.71</v>
      </c>
      <c r="Y32" s="80"/>
      <c r="Z32" s="45"/>
      <c r="AA32" s="46" t="s">
        <v>34</v>
      </c>
      <c r="AB32" s="46">
        <v>6647.34</v>
      </c>
      <c r="AC32" s="46">
        <v>4135.5200000000004</v>
      </c>
      <c r="AD32" s="80"/>
      <c r="AE32" s="45"/>
      <c r="AF32" s="46" t="s">
        <v>34</v>
      </c>
      <c r="AG32" s="46">
        <v>5139.22</v>
      </c>
      <c r="AH32" s="46">
        <v>1662.11</v>
      </c>
      <c r="AI32" s="80"/>
      <c r="AJ32" s="45"/>
      <c r="AK32" s="46" t="s">
        <v>34</v>
      </c>
      <c r="AL32" s="46">
        <v>6920.27</v>
      </c>
      <c r="AM32" s="46">
        <v>210.57</v>
      </c>
      <c r="AN32" s="80"/>
      <c r="AO32" s="45"/>
      <c r="AP32" s="46" t="s">
        <v>34</v>
      </c>
      <c r="AQ32" s="46">
        <v>5299.31</v>
      </c>
      <c r="AR32" s="46">
        <v>720.79</v>
      </c>
      <c r="AS32" s="80"/>
      <c r="AT32" s="45"/>
      <c r="AU32" s="46" t="s">
        <v>34</v>
      </c>
      <c r="AV32" s="46">
        <v>3364.44</v>
      </c>
      <c r="AW32" s="46">
        <v>1123.3699999999999</v>
      </c>
      <c r="AX32" s="80"/>
      <c r="AY32" s="45"/>
      <c r="AZ32" s="46" t="s">
        <v>34</v>
      </c>
      <c r="BA32" s="46">
        <v>4277.78</v>
      </c>
      <c r="BB32" s="46">
        <v>1010.18</v>
      </c>
      <c r="BC32" s="80"/>
      <c r="BD32" s="45"/>
      <c r="BE32" s="46" t="s">
        <v>34</v>
      </c>
      <c r="BF32" s="46">
        <v>3452.39</v>
      </c>
      <c r="BG32" s="46">
        <v>693.46</v>
      </c>
      <c r="BH32" s="80"/>
    </row>
    <row r="33" spans="2:61" s="338" customFormat="1">
      <c r="E33" s="338">
        <v>2830</v>
      </c>
      <c r="J33" s="338">
        <v>8101</v>
      </c>
      <c r="O33" s="338">
        <v>10418</v>
      </c>
      <c r="T33" s="338">
        <v>3877</v>
      </c>
      <c r="Y33" s="338">
        <v>5949</v>
      </c>
      <c r="AD33" s="338">
        <v>10782</v>
      </c>
      <c r="AI33" s="338">
        <v>6801</v>
      </c>
      <c r="AN33" s="338">
        <v>7130</v>
      </c>
      <c r="AS33" s="338">
        <v>6020</v>
      </c>
      <c r="AX33" s="338">
        <v>4487</v>
      </c>
      <c r="BC33" s="338">
        <v>5287</v>
      </c>
      <c r="BH33" s="338">
        <v>4145</v>
      </c>
      <c r="BI33" s="337">
        <v>75827</v>
      </c>
    </row>
    <row r="37" spans="2:61">
      <c r="B37" s="335">
        <v>2022</v>
      </c>
    </row>
    <row r="38" spans="2:61" ht="19">
      <c r="B38" s="74" t="s">
        <v>35</v>
      </c>
      <c r="C38" s="75" t="s">
        <v>46</v>
      </c>
      <c r="D38" s="78" t="s">
        <v>141</v>
      </c>
      <c r="E38" s="49"/>
      <c r="G38" s="74" t="s">
        <v>36</v>
      </c>
      <c r="H38" s="75" t="s">
        <v>46</v>
      </c>
      <c r="I38" s="78" t="s">
        <v>141</v>
      </c>
      <c r="J38" s="49"/>
      <c r="L38" s="74" t="s">
        <v>37</v>
      </c>
      <c r="M38" s="75" t="s">
        <v>46</v>
      </c>
      <c r="N38" s="78" t="s">
        <v>141</v>
      </c>
      <c r="O38" s="49"/>
      <c r="Q38" s="74" t="s">
        <v>0</v>
      </c>
      <c r="R38" s="75" t="s">
        <v>46</v>
      </c>
      <c r="S38" s="78" t="s">
        <v>141</v>
      </c>
      <c r="T38" s="49"/>
      <c r="V38" s="74" t="s">
        <v>2</v>
      </c>
      <c r="W38" s="75" t="s">
        <v>46</v>
      </c>
      <c r="X38" s="78" t="s">
        <v>141</v>
      </c>
      <c r="Y38" s="49"/>
      <c r="AA38" s="74" t="s">
        <v>3</v>
      </c>
      <c r="AB38" s="75" t="s">
        <v>46</v>
      </c>
      <c r="AC38" s="78" t="s">
        <v>141</v>
      </c>
      <c r="AD38" s="49"/>
      <c r="AF38" s="74" t="s">
        <v>4</v>
      </c>
      <c r="AG38" s="75" t="s">
        <v>46</v>
      </c>
      <c r="AH38" s="78" t="s">
        <v>141</v>
      </c>
      <c r="AI38" s="49"/>
      <c r="AK38" s="74" t="s">
        <v>5</v>
      </c>
      <c r="AL38" s="75" t="s">
        <v>46</v>
      </c>
      <c r="AM38" s="78" t="s">
        <v>141</v>
      </c>
      <c r="AN38" s="49"/>
      <c r="AP38" s="74" t="s">
        <v>6</v>
      </c>
      <c r="AQ38" s="75" t="s">
        <v>46</v>
      </c>
      <c r="AR38" s="78" t="s">
        <v>141</v>
      </c>
      <c r="AS38" s="49"/>
      <c r="AU38" s="74" t="s">
        <v>7</v>
      </c>
      <c r="AV38" s="75" t="s">
        <v>46</v>
      </c>
      <c r="AW38" s="78" t="s">
        <v>141</v>
      </c>
      <c r="AX38" s="49"/>
      <c r="AZ38" s="74" t="s">
        <v>8</v>
      </c>
      <c r="BA38" s="75" t="s">
        <v>46</v>
      </c>
      <c r="BB38" s="78" t="s">
        <v>141</v>
      </c>
      <c r="BC38" s="49"/>
      <c r="BE38" s="74" t="s">
        <v>9</v>
      </c>
      <c r="BF38" s="75" t="s">
        <v>46</v>
      </c>
      <c r="BG38" s="78" t="s">
        <v>141</v>
      </c>
      <c r="BH38" s="49"/>
    </row>
    <row r="39" spans="2:61" ht="19">
      <c r="B39" s="76" t="s">
        <v>191</v>
      </c>
      <c r="C39" s="45">
        <v>1583.62</v>
      </c>
      <c r="D39" s="45">
        <v>500</v>
      </c>
      <c r="E39" s="79" t="s">
        <v>401</v>
      </c>
      <c r="G39" s="76" t="s">
        <v>191</v>
      </c>
      <c r="H39" s="45">
        <v>1659.54</v>
      </c>
      <c r="I39" s="45">
        <v>1000</v>
      </c>
      <c r="J39" s="79" t="s">
        <v>399</v>
      </c>
      <c r="L39" s="76" t="s">
        <v>191</v>
      </c>
      <c r="M39" s="45">
        <v>1634.14</v>
      </c>
      <c r="N39" s="45">
        <v>500</v>
      </c>
      <c r="O39" s="79" t="s">
        <v>401</v>
      </c>
      <c r="Q39" s="76" t="s">
        <v>191</v>
      </c>
      <c r="R39" s="45">
        <v>1629.94</v>
      </c>
      <c r="S39" s="45">
        <v>119.35</v>
      </c>
      <c r="T39" s="79" t="s">
        <v>224</v>
      </c>
      <c r="V39" s="76" t="s">
        <v>191</v>
      </c>
      <c r="W39" s="45">
        <v>1631.09</v>
      </c>
      <c r="X39" s="45">
        <v>100</v>
      </c>
      <c r="Y39" s="79" t="s">
        <v>445</v>
      </c>
      <c r="AA39" s="76" t="s">
        <v>191</v>
      </c>
      <c r="AB39" s="45">
        <v>1641.42</v>
      </c>
      <c r="AC39" s="45">
        <v>500</v>
      </c>
      <c r="AD39" s="79" t="s">
        <v>401</v>
      </c>
      <c r="AF39" s="76" t="s">
        <v>191</v>
      </c>
      <c r="AG39" s="45">
        <v>1640.69</v>
      </c>
      <c r="AH39" s="45">
        <v>100</v>
      </c>
      <c r="AI39" s="79" t="s">
        <v>464</v>
      </c>
      <c r="AK39" s="76" t="s">
        <v>191</v>
      </c>
      <c r="AL39" s="45">
        <v>1651.33</v>
      </c>
      <c r="AM39" s="45">
        <v>158.36000000000001</v>
      </c>
      <c r="AN39" s="79" t="s">
        <v>224</v>
      </c>
      <c r="AP39" s="76" t="s">
        <v>191</v>
      </c>
      <c r="AQ39" s="45">
        <v>1652.3</v>
      </c>
      <c r="AR39" s="45">
        <v>500</v>
      </c>
      <c r="AS39" s="79" t="s">
        <v>401</v>
      </c>
      <c r="AU39" s="76" t="s">
        <v>191</v>
      </c>
      <c r="AV39" s="45">
        <v>1651.38</v>
      </c>
      <c r="AW39" s="45"/>
      <c r="AX39" s="79"/>
      <c r="AZ39" s="76" t="s">
        <v>191</v>
      </c>
      <c r="BA39" s="45">
        <v>1646.95</v>
      </c>
      <c r="BB39" s="45">
        <v>500</v>
      </c>
      <c r="BC39" s="79" t="s">
        <v>401</v>
      </c>
      <c r="BE39" s="76" t="s">
        <v>191</v>
      </c>
      <c r="BF39" s="45">
        <v>1650.2</v>
      </c>
      <c r="BG39" s="45">
        <v>500</v>
      </c>
      <c r="BH39" s="79" t="s">
        <v>401</v>
      </c>
    </row>
    <row r="40" spans="2:61" ht="19">
      <c r="B40" s="76" t="s">
        <v>395</v>
      </c>
      <c r="C40" s="45">
        <v>266.17</v>
      </c>
      <c r="D40" s="45"/>
      <c r="E40" s="79"/>
      <c r="G40" s="76" t="s">
        <v>108</v>
      </c>
      <c r="H40" s="45">
        <v>136.61000000000001</v>
      </c>
      <c r="I40" s="45">
        <v>2000</v>
      </c>
      <c r="J40" s="92" t="s">
        <v>235</v>
      </c>
      <c r="L40" s="76" t="s">
        <v>108</v>
      </c>
      <c r="M40" s="45">
        <v>99.16</v>
      </c>
      <c r="N40" s="45"/>
      <c r="O40" s="79"/>
      <c r="Q40" s="76" t="s">
        <v>108</v>
      </c>
      <c r="R40" s="45">
        <v>95.68</v>
      </c>
      <c r="S40" s="45">
        <v>500</v>
      </c>
      <c r="T40" s="79" t="s">
        <v>401</v>
      </c>
      <c r="V40" s="76" t="s">
        <v>108</v>
      </c>
      <c r="W40" s="45">
        <v>73.739999999999995</v>
      </c>
      <c r="X40" s="45">
        <v>500</v>
      </c>
      <c r="Y40" s="79" t="s">
        <v>401</v>
      </c>
      <c r="AA40" s="76" t="s">
        <v>108</v>
      </c>
      <c r="AB40" s="45">
        <v>66.37</v>
      </c>
      <c r="AC40" s="45"/>
      <c r="AD40" s="51"/>
      <c r="AF40" s="76" t="s">
        <v>108</v>
      </c>
      <c r="AG40" s="45">
        <v>84.61</v>
      </c>
      <c r="AH40" s="45"/>
      <c r="AI40" s="51"/>
      <c r="AK40" s="76" t="s">
        <v>108</v>
      </c>
      <c r="AL40" s="45">
        <v>124.14</v>
      </c>
      <c r="AM40" s="45">
        <v>500</v>
      </c>
      <c r="AN40" s="79" t="s">
        <v>401</v>
      </c>
      <c r="AP40" s="76" t="s">
        <v>108</v>
      </c>
      <c r="AQ40" s="45">
        <v>121.24</v>
      </c>
      <c r="AU40" s="76" t="s">
        <v>108</v>
      </c>
      <c r="AV40" s="167">
        <v>114.68</v>
      </c>
      <c r="AX40" s="51"/>
      <c r="AZ40" s="76" t="s">
        <v>108</v>
      </c>
      <c r="BA40" s="167">
        <v>88.67</v>
      </c>
      <c r="BC40" s="51"/>
      <c r="BE40" s="76" t="s">
        <v>108</v>
      </c>
      <c r="BF40" s="167">
        <v>21.5</v>
      </c>
      <c r="BG40">
        <v>1000</v>
      </c>
      <c r="BH40" s="51" t="s">
        <v>495</v>
      </c>
    </row>
    <row r="41" spans="2:61" ht="19">
      <c r="B41" s="76" t="s">
        <v>108</v>
      </c>
      <c r="C41" s="45">
        <v>60.28</v>
      </c>
      <c r="D41" s="45"/>
      <c r="E41" s="79"/>
      <c r="G41" s="76" t="s">
        <v>234</v>
      </c>
      <c r="H41" s="45">
        <v>80.84</v>
      </c>
      <c r="I41" s="45">
        <v>1000</v>
      </c>
      <c r="J41" s="79" t="s">
        <v>363</v>
      </c>
      <c r="L41" s="76" t="s">
        <v>234</v>
      </c>
      <c r="M41" s="45">
        <v>107.34</v>
      </c>
      <c r="N41" s="45"/>
      <c r="O41" s="79"/>
      <c r="Q41" s="76" t="s">
        <v>234</v>
      </c>
      <c r="R41" s="45">
        <v>154.84</v>
      </c>
      <c r="S41" s="45"/>
      <c r="T41" s="79"/>
      <c r="V41" s="76" t="s">
        <v>234</v>
      </c>
      <c r="W41" s="45">
        <v>162.34</v>
      </c>
      <c r="X41" s="45"/>
      <c r="Y41" s="79"/>
      <c r="AA41" s="76" t="s">
        <v>234</v>
      </c>
      <c r="AB41" s="45">
        <v>133.80000000000001</v>
      </c>
      <c r="AC41" s="45"/>
      <c r="AD41" s="79"/>
      <c r="AF41" s="76" t="s">
        <v>234</v>
      </c>
      <c r="AG41" s="45">
        <v>20.99</v>
      </c>
      <c r="AH41" s="45"/>
      <c r="AI41" s="79"/>
      <c r="AK41" s="76" t="s">
        <v>234</v>
      </c>
      <c r="AL41" s="45">
        <v>107.32</v>
      </c>
      <c r="AM41" s="45"/>
      <c r="AN41" s="79"/>
      <c r="AP41" s="76" t="s">
        <v>234</v>
      </c>
      <c r="AQ41" s="45">
        <v>233.17</v>
      </c>
      <c r="AR41" s="45"/>
      <c r="AS41" s="79"/>
      <c r="AU41" s="76" t="s">
        <v>234</v>
      </c>
      <c r="AV41" s="45">
        <v>109.88</v>
      </c>
      <c r="AW41" s="45"/>
      <c r="AX41" s="79"/>
      <c r="AZ41" s="76" t="s">
        <v>155</v>
      </c>
      <c r="BA41" s="45">
        <v>95.5</v>
      </c>
      <c r="BB41" s="45"/>
      <c r="BC41" s="79"/>
      <c r="BE41" s="76" t="s">
        <v>155</v>
      </c>
      <c r="BF41" s="45">
        <v>56</v>
      </c>
      <c r="BG41" s="45"/>
      <c r="BH41" s="79"/>
    </row>
    <row r="42" spans="2:61" ht="19">
      <c r="B42" s="76" t="s">
        <v>234</v>
      </c>
      <c r="C42" s="45">
        <v>812.38</v>
      </c>
      <c r="D42" s="45"/>
      <c r="E42" s="79"/>
      <c r="G42" s="76" t="s">
        <v>155</v>
      </c>
      <c r="H42" s="45">
        <v>119.37</v>
      </c>
      <c r="I42" s="45">
        <v>500</v>
      </c>
      <c r="J42" s="79" t="s">
        <v>401</v>
      </c>
      <c r="L42" s="76" t="s">
        <v>155</v>
      </c>
      <c r="M42" s="45">
        <v>34.33</v>
      </c>
      <c r="N42" s="45"/>
      <c r="O42" s="79"/>
      <c r="Q42" s="76" t="s">
        <v>155</v>
      </c>
      <c r="R42" s="45">
        <v>25.44</v>
      </c>
      <c r="S42" s="45"/>
      <c r="T42" s="79"/>
      <c r="V42" s="76" t="s">
        <v>155</v>
      </c>
      <c r="W42" s="45">
        <v>683.58</v>
      </c>
      <c r="X42" s="45"/>
      <c r="Y42" s="79"/>
      <c r="AA42" s="76" t="s">
        <v>155</v>
      </c>
      <c r="AB42" s="45">
        <v>42.88</v>
      </c>
      <c r="AC42" s="45"/>
      <c r="AD42" s="79"/>
      <c r="AF42" s="76" t="s">
        <v>155</v>
      </c>
      <c r="AG42" s="45">
        <v>466.1</v>
      </c>
      <c r="AH42" s="45"/>
      <c r="AI42" s="79"/>
      <c r="AK42" s="76" t="s">
        <v>155</v>
      </c>
      <c r="AL42" s="45">
        <v>73.8</v>
      </c>
      <c r="AM42" s="45"/>
      <c r="AN42" s="79"/>
      <c r="AP42" s="76" t="s">
        <v>155</v>
      </c>
      <c r="AQ42" s="45">
        <v>322.36</v>
      </c>
      <c r="AR42" s="45"/>
      <c r="AS42" s="79"/>
      <c r="AU42" s="76" t="s">
        <v>155</v>
      </c>
      <c r="AV42" s="45">
        <v>650.39</v>
      </c>
      <c r="AW42" s="45"/>
      <c r="AX42" s="79"/>
      <c r="AZ42" s="76" t="s">
        <v>248</v>
      </c>
      <c r="BA42" s="45">
        <v>141.52000000000001</v>
      </c>
      <c r="BB42" s="45"/>
      <c r="BC42" s="79"/>
      <c r="BE42" s="76" t="s">
        <v>248</v>
      </c>
      <c r="BF42" s="45">
        <v>0</v>
      </c>
      <c r="BG42" s="45"/>
      <c r="BH42" s="79"/>
    </row>
    <row r="43" spans="2:61" ht="19">
      <c r="B43" s="76" t="s">
        <v>235</v>
      </c>
      <c r="C43" s="45">
        <v>1000</v>
      </c>
      <c r="D43" s="45"/>
      <c r="E43" s="79"/>
      <c r="G43" s="46" t="s">
        <v>248</v>
      </c>
      <c r="H43" s="45">
        <v>440.4</v>
      </c>
      <c r="I43" s="45"/>
      <c r="J43" s="79"/>
      <c r="L43" s="46" t="s">
        <v>248</v>
      </c>
      <c r="M43" s="45">
        <v>276.27999999999997</v>
      </c>
      <c r="N43" s="45"/>
      <c r="O43" s="79"/>
      <c r="Q43" s="46" t="s">
        <v>248</v>
      </c>
      <c r="R43" s="45">
        <v>20.47</v>
      </c>
      <c r="S43" s="45"/>
      <c r="T43" s="79"/>
      <c r="V43" s="46" t="s">
        <v>248</v>
      </c>
      <c r="W43" s="45">
        <v>100.42</v>
      </c>
      <c r="X43" s="45"/>
      <c r="Y43" s="79"/>
      <c r="AA43" s="46" t="s">
        <v>248</v>
      </c>
      <c r="AB43" s="45">
        <v>60.58</v>
      </c>
      <c r="AC43" s="45"/>
      <c r="AD43" s="79"/>
      <c r="AF43" s="76" t="s">
        <v>248</v>
      </c>
      <c r="AG43" s="45">
        <v>215.31</v>
      </c>
      <c r="AH43" s="45"/>
      <c r="AI43" s="79"/>
      <c r="AK43" s="76" t="s">
        <v>248</v>
      </c>
      <c r="AL43" s="45">
        <v>799.99</v>
      </c>
      <c r="AM43" s="45"/>
      <c r="AN43" s="79"/>
      <c r="AP43" s="76" t="s">
        <v>248</v>
      </c>
      <c r="AQ43" s="45">
        <v>400.12</v>
      </c>
      <c r="AR43" s="45"/>
      <c r="AS43" s="79"/>
      <c r="AU43" s="76" t="s">
        <v>248</v>
      </c>
      <c r="AV43" s="45"/>
      <c r="AW43" s="45"/>
      <c r="AX43" s="79"/>
      <c r="AZ43" s="76" t="s">
        <v>395</v>
      </c>
      <c r="BA43" s="45">
        <v>70.81</v>
      </c>
      <c r="BB43" s="45"/>
      <c r="BC43" s="79"/>
      <c r="BE43" s="76" t="s">
        <v>395</v>
      </c>
      <c r="BF43" s="45">
        <v>204.31</v>
      </c>
      <c r="BG43" s="45"/>
      <c r="BH43" s="79"/>
    </row>
    <row r="44" spans="2:61" ht="19">
      <c r="B44" s="76" t="s">
        <v>155</v>
      </c>
      <c r="C44" s="45">
        <v>537.86</v>
      </c>
      <c r="D44" s="45"/>
      <c r="E44" s="79"/>
      <c r="G44" s="76" t="s">
        <v>395</v>
      </c>
      <c r="H44" s="45">
        <v>60.42</v>
      </c>
      <c r="I44" s="45"/>
      <c r="J44" s="79"/>
      <c r="L44" s="76" t="s">
        <v>395</v>
      </c>
      <c r="M44" s="45">
        <v>290.05</v>
      </c>
      <c r="N44" s="45"/>
      <c r="O44" s="79"/>
      <c r="Q44" s="76" t="s">
        <v>395</v>
      </c>
      <c r="R44" s="45">
        <v>91.24</v>
      </c>
      <c r="S44" s="45"/>
      <c r="T44" s="79"/>
      <c r="V44" s="76" t="s">
        <v>395</v>
      </c>
      <c r="W44" s="45">
        <v>70.8</v>
      </c>
      <c r="X44" s="45"/>
      <c r="Y44" s="79"/>
      <c r="AA44" s="76" t="s">
        <v>395</v>
      </c>
      <c r="AB44" s="45">
        <v>241.77</v>
      </c>
      <c r="AC44" s="45"/>
      <c r="AD44" s="79"/>
      <c r="AF44" s="76" t="s">
        <v>395</v>
      </c>
      <c r="AG44" s="45">
        <v>35</v>
      </c>
      <c r="AH44" s="45"/>
      <c r="AI44" s="79"/>
      <c r="AK44" s="76" t="s">
        <v>395</v>
      </c>
      <c r="AL44" s="45">
        <v>309.14999999999998</v>
      </c>
      <c r="AM44" s="45"/>
      <c r="AN44" s="79"/>
      <c r="AP44" s="76" t="s">
        <v>395</v>
      </c>
      <c r="AQ44" s="45">
        <v>383.09</v>
      </c>
      <c r="AR44" s="45"/>
      <c r="AS44" s="79"/>
      <c r="AU44" s="76" t="s">
        <v>395</v>
      </c>
      <c r="AV44" s="45">
        <v>184.59</v>
      </c>
      <c r="AW44" s="45"/>
      <c r="AX44" s="79"/>
      <c r="AZ44" s="76" t="s">
        <v>234</v>
      </c>
      <c r="BA44" s="45">
        <v>159.79</v>
      </c>
      <c r="BB44" s="45"/>
      <c r="BC44" s="79"/>
      <c r="BE44" s="76" t="s">
        <v>234</v>
      </c>
      <c r="BF44" s="45">
        <v>123.21</v>
      </c>
      <c r="BG44" s="45"/>
      <c r="BH44" s="79"/>
    </row>
    <row r="45" spans="2:61" ht="19">
      <c r="B45" s="46" t="s">
        <v>248</v>
      </c>
      <c r="C45" s="45">
        <v>257.29000000000002</v>
      </c>
      <c r="D45" s="45"/>
      <c r="E45" s="79"/>
      <c r="G45" s="50"/>
      <c r="I45" s="45"/>
      <c r="J45" s="79"/>
      <c r="L45" s="50"/>
      <c r="N45" s="45"/>
      <c r="O45" s="79"/>
      <c r="Q45" s="50"/>
      <c r="S45" s="45"/>
      <c r="T45" s="79"/>
      <c r="V45" s="76" t="s">
        <v>444</v>
      </c>
      <c r="W45" s="45">
        <v>102</v>
      </c>
      <c r="X45" s="45"/>
      <c r="Y45" s="79"/>
      <c r="AA45" s="76" t="s">
        <v>446</v>
      </c>
      <c r="AB45" s="45">
        <v>32</v>
      </c>
      <c r="AC45" s="45"/>
      <c r="AD45" s="79"/>
      <c r="AF45" s="76"/>
      <c r="AG45" s="45"/>
      <c r="AH45" s="45"/>
      <c r="AI45" s="79"/>
      <c r="AK45" s="92" t="s">
        <v>464</v>
      </c>
      <c r="AL45" s="45">
        <v>100</v>
      </c>
      <c r="AM45" s="45"/>
      <c r="AN45" s="79"/>
      <c r="AP45" s="76" t="s">
        <v>235</v>
      </c>
      <c r="AQ45" s="45">
        <v>1353.88</v>
      </c>
      <c r="AR45" s="45"/>
      <c r="AS45" s="79"/>
      <c r="AU45" s="76" t="s">
        <v>235</v>
      </c>
      <c r="AV45" s="45"/>
      <c r="AW45" s="45"/>
      <c r="AX45" s="79"/>
      <c r="AZ45" s="76" t="s">
        <v>235</v>
      </c>
      <c r="BA45" s="45"/>
      <c r="BB45" s="45"/>
      <c r="BC45" s="79"/>
      <c r="BE45" s="76" t="s">
        <v>235</v>
      </c>
      <c r="BF45" s="45">
        <v>29.44</v>
      </c>
      <c r="BG45" s="45"/>
      <c r="BH45" s="79"/>
    </row>
    <row r="46" spans="2:61" ht="19">
      <c r="B46" s="46" t="s">
        <v>248</v>
      </c>
      <c r="C46" s="45">
        <v>243.01</v>
      </c>
      <c r="D46" s="45"/>
      <c r="E46" s="79"/>
      <c r="G46" s="46"/>
      <c r="H46" s="45"/>
      <c r="I46" s="45"/>
      <c r="J46" s="79"/>
      <c r="L46" s="46"/>
      <c r="M46" s="45"/>
      <c r="N46" s="45"/>
      <c r="O46" s="79"/>
      <c r="Q46" s="46"/>
      <c r="R46" s="45"/>
      <c r="S46" s="45"/>
      <c r="T46" s="79"/>
      <c r="V46" s="46"/>
      <c r="W46" s="45"/>
      <c r="X46" s="45"/>
      <c r="Y46" s="79"/>
      <c r="AA46" s="46" t="s">
        <v>235</v>
      </c>
      <c r="AB46" s="45">
        <v>1056.5</v>
      </c>
      <c r="AC46" s="45"/>
      <c r="AD46" s="79"/>
      <c r="AF46" s="76"/>
      <c r="AG46" s="45"/>
      <c r="AH46" s="45"/>
      <c r="AI46" s="79"/>
      <c r="AK46" s="76" t="s">
        <v>235</v>
      </c>
      <c r="AL46" s="45">
        <v>4.7</v>
      </c>
      <c r="AM46" s="45"/>
      <c r="AN46" s="79"/>
      <c r="AR46" s="45"/>
      <c r="AS46" s="79"/>
      <c r="AU46" s="76" t="s">
        <v>464</v>
      </c>
      <c r="AV46" s="45">
        <v>100</v>
      </c>
      <c r="AW46" s="45"/>
      <c r="AX46" s="79"/>
      <c r="AZ46" s="76"/>
      <c r="BA46" s="45"/>
      <c r="BB46" s="45"/>
      <c r="BC46" s="79"/>
      <c r="BE46" s="76" t="s">
        <v>497</v>
      </c>
      <c r="BF46" s="45">
        <v>709.06</v>
      </c>
      <c r="BG46" s="45"/>
      <c r="BH46" s="79"/>
    </row>
    <row r="47" spans="2:61" ht="19">
      <c r="B47" s="76" t="s">
        <v>395</v>
      </c>
      <c r="C47" s="45">
        <v>180.42</v>
      </c>
      <c r="D47" s="45"/>
      <c r="E47" s="79"/>
      <c r="G47" s="50"/>
      <c r="I47" s="45"/>
      <c r="J47" s="79"/>
      <c r="L47" s="50"/>
      <c r="N47" s="45"/>
      <c r="O47" s="79"/>
      <c r="Q47" s="50"/>
      <c r="S47" s="45"/>
      <c r="T47" s="79"/>
      <c r="V47" s="50"/>
      <c r="X47" s="45"/>
      <c r="Y47" s="79"/>
      <c r="AA47" s="50"/>
      <c r="AC47" s="45"/>
      <c r="AD47" s="79"/>
      <c r="AF47" s="50"/>
      <c r="AH47" s="45"/>
      <c r="AI47" s="79"/>
      <c r="AK47" s="92"/>
      <c r="AL47" s="45"/>
      <c r="AM47" s="45"/>
      <c r="AN47" s="79"/>
      <c r="AP47" s="92"/>
      <c r="AQ47" s="45"/>
      <c r="AR47" s="45"/>
      <c r="AS47" s="79"/>
      <c r="AU47" s="76"/>
      <c r="AV47" s="45"/>
      <c r="AW47" s="45"/>
      <c r="AX47" s="79"/>
      <c r="AZ47" s="76"/>
      <c r="BA47" s="45"/>
      <c r="BB47" s="45"/>
      <c r="BC47" s="79"/>
      <c r="BE47" s="76"/>
      <c r="BF47" s="45"/>
      <c r="BG47" s="45"/>
      <c r="BH47" s="79"/>
    </row>
    <row r="48" spans="2:61" ht="19">
      <c r="B48" s="83"/>
      <c r="C48" s="45"/>
      <c r="D48" s="45"/>
      <c r="E48" s="79"/>
      <c r="G48" s="83"/>
      <c r="H48" s="45"/>
      <c r="I48" s="45"/>
      <c r="J48" s="79"/>
      <c r="L48" s="83"/>
      <c r="M48" s="45"/>
      <c r="N48" s="45"/>
      <c r="O48" s="79"/>
      <c r="Q48" s="83"/>
      <c r="R48" s="45"/>
      <c r="S48" s="45"/>
      <c r="T48" s="79"/>
      <c r="V48" s="83"/>
      <c r="W48" s="45"/>
      <c r="X48" s="45"/>
      <c r="Y48" s="79"/>
      <c r="AA48" s="83"/>
      <c r="AB48" s="45"/>
      <c r="AC48" s="45"/>
      <c r="AD48" s="79"/>
      <c r="AF48" s="83"/>
      <c r="AG48" s="45"/>
      <c r="AH48" s="45"/>
      <c r="AI48" s="79"/>
      <c r="AK48" s="83"/>
      <c r="AL48" s="45"/>
      <c r="AM48" s="45"/>
      <c r="AN48" s="79"/>
      <c r="AP48" s="83"/>
      <c r="AQ48" s="45"/>
      <c r="AR48" s="45"/>
      <c r="AS48" s="79"/>
      <c r="AU48" s="76"/>
      <c r="AV48" s="45"/>
      <c r="AW48" s="45"/>
      <c r="AX48" s="79"/>
      <c r="AZ48" s="76"/>
      <c r="BA48" s="45"/>
      <c r="BB48" s="45"/>
      <c r="BC48" s="79"/>
      <c r="BE48" s="76"/>
      <c r="BF48" s="45"/>
      <c r="BG48" s="45"/>
      <c r="BH48" s="79"/>
    </row>
    <row r="49" spans="2:61" ht="19">
      <c r="B49" s="46" t="s">
        <v>34</v>
      </c>
      <c r="C49" s="46">
        <v>4941.03</v>
      </c>
      <c r="D49" s="46">
        <v>500</v>
      </c>
      <c r="E49" s="80"/>
      <c r="G49" s="46" t="s">
        <v>34</v>
      </c>
      <c r="H49" s="46">
        <v>2497.1799999999998</v>
      </c>
      <c r="I49" s="46">
        <v>4500</v>
      </c>
      <c r="J49" s="80"/>
      <c r="L49" s="46" t="s">
        <v>34</v>
      </c>
      <c r="M49" s="46">
        <v>2441.3000000000002</v>
      </c>
      <c r="N49" s="46">
        <v>500</v>
      </c>
      <c r="O49" s="80"/>
      <c r="Q49" s="46" t="s">
        <v>34</v>
      </c>
      <c r="R49" s="46">
        <v>2017.61</v>
      </c>
      <c r="S49" s="46">
        <v>619.35</v>
      </c>
      <c r="T49" s="80"/>
      <c r="V49" s="46" t="s">
        <v>34</v>
      </c>
      <c r="W49" s="46">
        <v>2823.97</v>
      </c>
      <c r="X49" s="46">
        <v>600</v>
      </c>
      <c r="Y49" s="80"/>
      <c r="AA49" s="46" t="s">
        <v>34</v>
      </c>
      <c r="AB49" s="46">
        <v>3275.32</v>
      </c>
      <c r="AC49" s="77">
        <v>500</v>
      </c>
      <c r="AD49" s="80"/>
      <c r="AF49" s="46" t="s">
        <v>34</v>
      </c>
      <c r="AG49" s="46">
        <v>2462.6999999999998</v>
      </c>
      <c r="AH49" s="77">
        <v>100</v>
      </c>
      <c r="AI49" s="80"/>
      <c r="AK49" s="46" t="s">
        <v>34</v>
      </c>
      <c r="AL49" s="46">
        <v>3170.43</v>
      </c>
      <c r="AM49" s="77">
        <v>658.36</v>
      </c>
      <c r="AN49" s="80"/>
      <c r="AP49" s="46" t="s">
        <v>34</v>
      </c>
      <c r="AQ49" s="46">
        <v>4466.16</v>
      </c>
      <c r="AR49" s="77">
        <v>500</v>
      </c>
      <c r="AS49" s="80"/>
      <c r="AU49" s="83" t="s">
        <v>34</v>
      </c>
      <c r="AV49" s="77">
        <v>2810.92</v>
      </c>
      <c r="AW49" s="77">
        <v>0</v>
      </c>
      <c r="AX49" s="80"/>
      <c r="AZ49" s="83" t="s">
        <v>34</v>
      </c>
      <c r="BA49" s="77">
        <v>2203.2399999999998</v>
      </c>
      <c r="BB49" s="77">
        <v>500</v>
      </c>
      <c r="BC49" s="80"/>
      <c r="BE49" s="83" t="s">
        <v>34</v>
      </c>
      <c r="BF49" s="77">
        <v>2793.72</v>
      </c>
      <c r="BG49" s="77">
        <v>1500</v>
      </c>
      <c r="BH49" s="80"/>
    </row>
    <row r="50" spans="2:61" s="336" customFormat="1">
      <c r="E50" s="336">
        <v>5441</v>
      </c>
      <c r="J50" s="336">
        <v>6997</v>
      </c>
      <c r="O50" s="336">
        <v>2941</v>
      </c>
      <c r="T50" s="336">
        <v>2636</v>
      </c>
      <c r="Y50" s="336">
        <v>3423</v>
      </c>
      <c r="AD50" s="336">
        <v>3775</v>
      </c>
      <c r="AI50" s="336">
        <v>2562</v>
      </c>
      <c r="AN50" s="336">
        <v>3828</v>
      </c>
      <c r="AS50" s="336">
        <v>4966</v>
      </c>
      <c r="AX50" s="336">
        <v>2810</v>
      </c>
      <c r="BC50" s="336">
        <v>2703</v>
      </c>
      <c r="BH50" s="336">
        <v>4293</v>
      </c>
      <c r="BI50" s="337">
        <v>46375</v>
      </c>
    </row>
    <row r="53" spans="2:61" ht="24">
      <c r="BI53" s="364">
        <v>176845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4563E-C38F-1640-851B-89904CE8D4BD}">
  <dimension ref="C5:BK18"/>
  <sheetViews>
    <sheetView topLeftCell="AZ1" workbookViewId="0">
      <selection activeCell="BI20" sqref="BI20"/>
    </sheetView>
  </sheetViews>
  <sheetFormatPr baseColWidth="10" defaultRowHeight="15"/>
  <cols>
    <col min="3" max="3" width="11.6640625" bestFit="1" customWidth="1"/>
    <col min="6" max="6" width="12.5" bestFit="1" customWidth="1"/>
    <col min="8" max="8" width="15.33203125" bestFit="1" customWidth="1"/>
    <col min="13" max="13" width="15.5" bestFit="1" customWidth="1"/>
    <col min="18" max="18" width="15.6640625" bestFit="1" customWidth="1"/>
    <col min="21" max="21" width="19" customWidth="1"/>
    <col min="23" max="23" width="24.1640625" customWidth="1"/>
    <col min="28" max="28" width="17.83203125" bestFit="1" customWidth="1"/>
    <col min="33" max="33" width="17.33203125" customWidth="1"/>
    <col min="34" max="34" width="16" customWidth="1"/>
    <col min="35" max="35" width="14.5" customWidth="1"/>
    <col min="38" max="38" width="20.83203125" customWidth="1"/>
    <col min="43" max="43" width="11.6640625" bestFit="1" customWidth="1"/>
    <col min="46" max="46" width="15.6640625" bestFit="1" customWidth="1"/>
    <col min="48" max="48" width="11.6640625" bestFit="1" customWidth="1"/>
    <col min="51" max="51" width="15.6640625" bestFit="1" customWidth="1"/>
    <col min="53" max="53" width="11.6640625" bestFit="1" customWidth="1"/>
    <col min="55" max="55" width="14.1640625" customWidth="1"/>
    <col min="56" max="56" width="18.5" customWidth="1"/>
    <col min="58" max="58" width="11.6640625" bestFit="1" customWidth="1"/>
    <col min="60" max="60" width="14.83203125" customWidth="1"/>
    <col min="61" max="61" width="19.1640625" customWidth="1"/>
  </cols>
  <sheetData>
    <row r="5" spans="3:61" ht="19">
      <c r="C5" s="74" t="s">
        <v>35</v>
      </c>
      <c r="D5" s="75" t="s">
        <v>46</v>
      </c>
      <c r="E5" s="78" t="s">
        <v>141</v>
      </c>
      <c r="F5" s="49"/>
      <c r="H5" s="74" t="s">
        <v>36</v>
      </c>
      <c r="I5" s="75" t="s">
        <v>46</v>
      </c>
      <c r="J5" s="78" t="s">
        <v>141</v>
      </c>
      <c r="K5" s="49"/>
      <c r="M5" s="74" t="s">
        <v>37</v>
      </c>
      <c r="N5" s="75" t="s">
        <v>46</v>
      </c>
      <c r="O5" s="78" t="s">
        <v>141</v>
      </c>
      <c r="P5" s="49"/>
      <c r="R5" s="74" t="s">
        <v>0</v>
      </c>
      <c r="S5" s="75" t="s">
        <v>46</v>
      </c>
      <c r="T5" s="78" t="s">
        <v>141</v>
      </c>
      <c r="U5" s="49"/>
      <c r="W5" s="74" t="s">
        <v>2</v>
      </c>
      <c r="X5" s="75" t="s">
        <v>46</v>
      </c>
      <c r="Y5" s="78" t="s">
        <v>141</v>
      </c>
      <c r="Z5" s="49"/>
      <c r="AB5" s="74" t="s">
        <v>3</v>
      </c>
      <c r="AC5" s="75" t="s">
        <v>46</v>
      </c>
      <c r="AD5" s="78" t="s">
        <v>141</v>
      </c>
      <c r="AE5" s="49"/>
      <c r="AG5" s="74" t="s">
        <v>4</v>
      </c>
      <c r="AH5" s="75" t="s">
        <v>46</v>
      </c>
      <c r="AI5" s="78" t="s">
        <v>141</v>
      </c>
      <c r="AJ5" s="49"/>
      <c r="AL5" s="74" t="s">
        <v>5</v>
      </c>
      <c r="AM5" s="75" t="s">
        <v>46</v>
      </c>
      <c r="AN5" s="78" t="s">
        <v>141</v>
      </c>
      <c r="AO5" s="49"/>
      <c r="AQ5" s="74" t="s">
        <v>6</v>
      </c>
      <c r="AR5" s="75" t="s">
        <v>46</v>
      </c>
      <c r="AS5" s="78" t="s">
        <v>141</v>
      </c>
      <c r="AT5" s="49"/>
      <c r="AV5" s="74" t="s">
        <v>7</v>
      </c>
      <c r="AW5" s="75" t="s">
        <v>46</v>
      </c>
      <c r="AX5" s="78" t="s">
        <v>141</v>
      </c>
      <c r="AY5" s="49"/>
      <c r="BA5" s="74" t="s">
        <v>8</v>
      </c>
      <c r="BB5" s="75" t="s">
        <v>46</v>
      </c>
      <c r="BC5" s="78" t="s">
        <v>141</v>
      </c>
      <c r="BD5" s="49"/>
      <c r="BF5" s="74" t="s">
        <v>9</v>
      </c>
      <c r="BG5" s="75" t="s">
        <v>46</v>
      </c>
      <c r="BH5" s="78" t="s">
        <v>141</v>
      </c>
      <c r="BI5" s="49"/>
    </row>
    <row r="6" spans="3:61" ht="19">
      <c r="C6" s="76" t="s">
        <v>191</v>
      </c>
      <c r="D6" s="45">
        <v>1640.75</v>
      </c>
      <c r="E6" s="45">
        <v>500</v>
      </c>
      <c r="F6" s="79" t="s">
        <v>401</v>
      </c>
      <c r="H6" s="76" t="s">
        <v>191</v>
      </c>
      <c r="I6" s="45">
        <v>1645.55</v>
      </c>
      <c r="J6" s="45">
        <v>0</v>
      </c>
      <c r="K6" s="79" t="s">
        <v>401</v>
      </c>
      <c r="M6" s="76" t="s">
        <v>191</v>
      </c>
      <c r="N6" s="45">
        <v>1746.37</v>
      </c>
      <c r="O6" s="45">
        <v>500</v>
      </c>
      <c r="P6" s="79" t="s">
        <v>401</v>
      </c>
      <c r="R6" s="76" t="s">
        <v>191</v>
      </c>
      <c r="S6" s="45">
        <v>1743.15</v>
      </c>
      <c r="T6" s="45">
        <v>500</v>
      </c>
      <c r="U6" s="79" t="s">
        <v>401</v>
      </c>
      <c r="W6" s="76" t="s">
        <v>191</v>
      </c>
      <c r="X6" s="45">
        <v>1744.06</v>
      </c>
      <c r="Y6" s="45">
        <v>500</v>
      </c>
      <c r="Z6" s="79" t="s">
        <v>401</v>
      </c>
      <c r="AB6" s="76" t="s">
        <v>191</v>
      </c>
      <c r="AC6" s="45">
        <v>1745.94</v>
      </c>
      <c r="AD6">
        <v>500</v>
      </c>
      <c r="AE6" s="79" t="s">
        <v>401</v>
      </c>
      <c r="AG6" s="76" t="s">
        <v>191</v>
      </c>
      <c r="AH6" s="45">
        <v>1745.79</v>
      </c>
      <c r="AI6">
        <v>500</v>
      </c>
      <c r="AJ6" s="79" t="s">
        <v>401</v>
      </c>
      <c r="AL6" s="76" t="s">
        <v>191</v>
      </c>
      <c r="AM6" s="45">
        <v>1757.39</v>
      </c>
      <c r="AN6">
        <v>500</v>
      </c>
      <c r="AO6" s="79" t="s">
        <v>401</v>
      </c>
      <c r="AQ6" s="76" t="s">
        <v>191</v>
      </c>
      <c r="AR6" s="45">
        <v>1768.33</v>
      </c>
      <c r="AS6">
        <v>0</v>
      </c>
      <c r="AT6" s="79" t="s">
        <v>401</v>
      </c>
      <c r="AV6" s="76" t="s">
        <v>191</v>
      </c>
      <c r="AW6" s="45">
        <v>1764.53</v>
      </c>
      <c r="AX6">
        <v>500</v>
      </c>
      <c r="AY6" s="79" t="s">
        <v>401</v>
      </c>
      <c r="BA6" s="76" t="s">
        <v>191</v>
      </c>
      <c r="BB6" s="45">
        <v>1769.7</v>
      </c>
      <c r="BC6">
        <v>0</v>
      </c>
      <c r="BD6" s="79" t="s">
        <v>401</v>
      </c>
      <c r="BF6" s="76" t="s">
        <v>191</v>
      </c>
      <c r="BG6" s="45">
        <v>1772.49</v>
      </c>
      <c r="BH6">
        <v>0</v>
      </c>
      <c r="BI6" s="79" t="s">
        <v>401</v>
      </c>
    </row>
    <row r="7" spans="3:61" ht="19">
      <c r="C7" s="76" t="s">
        <v>108</v>
      </c>
      <c r="D7" s="167">
        <v>61.33</v>
      </c>
      <c r="F7" s="51"/>
      <c r="H7" s="76" t="s">
        <v>108</v>
      </c>
      <c r="I7" s="167">
        <v>142.04</v>
      </c>
      <c r="K7" s="51"/>
      <c r="M7" s="76" t="s">
        <v>108</v>
      </c>
      <c r="N7" s="167">
        <v>111</v>
      </c>
      <c r="P7" s="51"/>
      <c r="R7" s="76" t="s">
        <v>108</v>
      </c>
      <c r="S7" s="167">
        <v>108.14</v>
      </c>
      <c r="T7">
        <v>164.92</v>
      </c>
      <c r="U7" s="79" t="s">
        <v>224</v>
      </c>
      <c r="W7" s="76" t="s">
        <v>108</v>
      </c>
      <c r="X7" s="167">
        <v>78.36</v>
      </c>
      <c r="Y7">
        <v>102.15</v>
      </c>
      <c r="Z7" s="79" t="s">
        <v>224</v>
      </c>
      <c r="AB7" s="76" t="s">
        <v>108</v>
      </c>
      <c r="AC7" s="167">
        <v>69.2</v>
      </c>
      <c r="AD7" s="45">
        <v>55.19</v>
      </c>
      <c r="AE7" s="79" t="s">
        <v>224</v>
      </c>
      <c r="AG7" s="76" t="s">
        <v>108</v>
      </c>
      <c r="AH7" s="167">
        <v>79.33</v>
      </c>
      <c r="AI7" s="45">
        <v>84.36</v>
      </c>
      <c r="AJ7" s="79" t="s">
        <v>224</v>
      </c>
      <c r="AL7" s="76" t="s">
        <v>108</v>
      </c>
      <c r="AM7" s="167">
        <v>112.09</v>
      </c>
      <c r="AN7" s="45">
        <v>5.52</v>
      </c>
      <c r="AO7" s="79" t="s">
        <v>224</v>
      </c>
      <c r="AQ7" s="76" t="s">
        <v>108</v>
      </c>
      <c r="AR7" s="167">
        <v>149.35</v>
      </c>
      <c r="AS7" s="45">
        <v>201.03</v>
      </c>
      <c r="AT7" s="79" t="s">
        <v>224</v>
      </c>
      <c r="AV7" s="76" t="s">
        <v>108</v>
      </c>
      <c r="AW7" s="167">
        <v>70.45</v>
      </c>
      <c r="AX7">
        <v>492.69</v>
      </c>
      <c r="AY7" s="79" t="s">
        <v>224</v>
      </c>
      <c r="BA7" s="76" t="s">
        <v>108</v>
      </c>
      <c r="BB7" s="167">
        <v>102.42</v>
      </c>
      <c r="BC7">
        <v>0</v>
      </c>
      <c r="BD7" s="79" t="s">
        <v>224</v>
      </c>
      <c r="BF7" s="76" t="s">
        <v>108</v>
      </c>
      <c r="BG7" s="167">
        <v>79.19</v>
      </c>
      <c r="BH7">
        <v>717.22</v>
      </c>
      <c r="BI7" s="79" t="s">
        <v>224</v>
      </c>
    </row>
    <row r="8" spans="3:61" ht="19">
      <c r="C8" s="76" t="s">
        <v>155</v>
      </c>
      <c r="D8" s="45">
        <v>0</v>
      </c>
      <c r="E8" s="45"/>
      <c r="F8" s="79"/>
      <c r="H8" s="76" t="s">
        <v>155</v>
      </c>
      <c r="I8" s="45">
        <v>63.31</v>
      </c>
      <c r="J8" s="45"/>
      <c r="K8" s="79"/>
      <c r="M8" s="76" t="s">
        <v>155</v>
      </c>
      <c r="N8" s="45">
        <v>613</v>
      </c>
      <c r="O8" s="45"/>
      <c r="P8" s="79"/>
      <c r="R8" s="76" t="s">
        <v>155</v>
      </c>
      <c r="S8" s="45">
        <v>84.53</v>
      </c>
      <c r="T8" s="45"/>
      <c r="U8" s="79"/>
      <c r="W8" s="76" t="s">
        <v>155</v>
      </c>
      <c r="X8" s="45">
        <v>575.21</v>
      </c>
      <c r="Y8" s="45"/>
      <c r="Z8" s="79"/>
      <c r="AB8" s="76" t="s">
        <v>155</v>
      </c>
      <c r="AC8" s="45">
        <v>10.09</v>
      </c>
      <c r="AD8" s="45"/>
      <c r="AE8" s="79"/>
      <c r="AG8" s="76" t="s">
        <v>155</v>
      </c>
      <c r="AH8" s="45">
        <v>373.15</v>
      </c>
      <c r="AI8" s="45"/>
      <c r="AJ8" s="79"/>
      <c r="AL8" s="76" t="s">
        <v>155</v>
      </c>
      <c r="AM8" s="45">
        <v>0</v>
      </c>
      <c r="AN8" s="45"/>
      <c r="AO8" s="79"/>
      <c r="AQ8" s="76" t="s">
        <v>155</v>
      </c>
      <c r="AR8" s="45"/>
      <c r="AS8" s="45">
        <v>3569.16</v>
      </c>
      <c r="AT8" s="79" t="s">
        <v>589</v>
      </c>
      <c r="AV8" s="76" t="s">
        <v>155</v>
      </c>
      <c r="AW8" s="45">
        <v>0</v>
      </c>
      <c r="AX8" s="45"/>
      <c r="AY8" s="79" t="s">
        <v>589</v>
      </c>
      <c r="BA8" s="76" t="s">
        <v>155</v>
      </c>
      <c r="BB8" s="45">
        <v>0</v>
      </c>
      <c r="BC8" s="45">
        <v>1628.36</v>
      </c>
      <c r="BD8" s="79" t="s">
        <v>589</v>
      </c>
      <c r="BF8" s="76" t="s">
        <v>155</v>
      </c>
      <c r="BG8" s="45">
        <v>0</v>
      </c>
      <c r="BH8" s="45">
        <v>1381.22</v>
      </c>
      <c r="BI8" s="79" t="s">
        <v>589</v>
      </c>
    </row>
    <row r="9" spans="3:61" ht="19">
      <c r="C9" s="76" t="s">
        <v>248</v>
      </c>
      <c r="D9" s="45">
        <v>272.74</v>
      </c>
      <c r="E9" s="45"/>
      <c r="F9" s="79"/>
      <c r="H9" s="76" t="s">
        <v>248</v>
      </c>
      <c r="I9" s="45">
        <v>584</v>
      </c>
      <c r="J9" s="45"/>
      <c r="K9" s="79"/>
      <c r="M9" s="76" t="s">
        <v>248</v>
      </c>
      <c r="N9" s="45">
        <v>0</v>
      </c>
      <c r="O9" s="45"/>
      <c r="P9" s="79"/>
      <c r="R9" s="76" t="s">
        <v>248</v>
      </c>
      <c r="S9" s="45">
        <v>20.6</v>
      </c>
      <c r="T9" s="45"/>
      <c r="U9" s="79"/>
      <c r="W9" s="76" t="s">
        <v>248</v>
      </c>
      <c r="X9" s="45">
        <v>0</v>
      </c>
      <c r="Y9" s="45"/>
      <c r="Z9" s="79"/>
      <c r="AB9" s="76" t="s">
        <v>248</v>
      </c>
      <c r="AC9" s="45">
        <v>56.39</v>
      </c>
      <c r="AD9" s="45"/>
      <c r="AE9" s="79"/>
      <c r="AG9" s="76" t="s">
        <v>248</v>
      </c>
      <c r="AH9" s="45">
        <v>14.24</v>
      </c>
      <c r="AI9" s="45"/>
      <c r="AJ9" s="79"/>
      <c r="AL9" s="76" t="s">
        <v>248</v>
      </c>
      <c r="AM9" s="45">
        <v>444.5</v>
      </c>
      <c r="AN9" s="45"/>
      <c r="AO9" s="79"/>
      <c r="AQ9" s="76" t="s">
        <v>248</v>
      </c>
      <c r="AR9" s="45">
        <v>38.49</v>
      </c>
      <c r="AS9" s="45"/>
      <c r="AT9" s="79"/>
      <c r="AV9" s="76" t="s">
        <v>248</v>
      </c>
      <c r="AW9" s="45">
        <v>0</v>
      </c>
      <c r="AX9" s="45"/>
      <c r="AY9" s="79"/>
      <c r="BA9" s="76" t="s">
        <v>248</v>
      </c>
      <c r="BB9" s="45">
        <v>0</v>
      </c>
      <c r="BC9" s="45"/>
      <c r="BD9" s="79"/>
      <c r="BF9" s="76" t="s">
        <v>248</v>
      </c>
      <c r="BG9" s="45">
        <v>0</v>
      </c>
      <c r="BH9" s="45">
        <v>100</v>
      </c>
      <c r="BI9" s="79" t="s">
        <v>464</v>
      </c>
    </row>
    <row r="10" spans="3:61" ht="19">
      <c r="C10" s="76" t="s">
        <v>395</v>
      </c>
      <c r="D10" s="45">
        <v>64.75</v>
      </c>
      <c r="E10" s="45"/>
      <c r="F10" s="79"/>
      <c r="H10" s="76" t="s">
        <v>395</v>
      </c>
      <c r="I10" s="45">
        <v>107.94</v>
      </c>
      <c r="J10" s="45"/>
      <c r="K10" s="79"/>
      <c r="M10" s="76" t="s">
        <v>395</v>
      </c>
      <c r="N10" s="45">
        <v>76.86</v>
      </c>
      <c r="O10" s="45"/>
      <c r="P10" s="79"/>
      <c r="R10" s="76" t="s">
        <v>395</v>
      </c>
      <c r="S10" s="45">
        <v>64.430000000000007</v>
      </c>
      <c r="T10" s="45"/>
      <c r="U10" s="79"/>
      <c r="W10" s="76" t="s">
        <v>395</v>
      </c>
      <c r="X10" s="45">
        <v>127.5</v>
      </c>
      <c r="Y10" s="45"/>
      <c r="Z10" s="79"/>
      <c r="AB10" s="76" t="s">
        <v>395</v>
      </c>
      <c r="AC10" s="45">
        <v>214.56</v>
      </c>
      <c r="AD10" s="45"/>
      <c r="AE10" s="79"/>
      <c r="AG10" s="76" t="s">
        <v>395</v>
      </c>
      <c r="AH10" s="45">
        <v>52.82</v>
      </c>
      <c r="AI10" s="45"/>
      <c r="AJ10" s="79"/>
      <c r="AL10" s="76" t="s">
        <v>395</v>
      </c>
      <c r="AM10" s="45">
        <v>110.99</v>
      </c>
      <c r="AN10" s="45"/>
      <c r="AO10" s="79"/>
      <c r="AQ10" s="76" t="s">
        <v>395</v>
      </c>
      <c r="AR10" s="45">
        <v>130.66</v>
      </c>
      <c r="AS10" s="45"/>
      <c r="AT10" s="79"/>
      <c r="AV10" s="76" t="s">
        <v>395</v>
      </c>
      <c r="AW10" s="45">
        <v>0</v>
      </c>
      <c r="AX10" s="45"/>
      <c r="AY10" s="79"/>
      <c r="BA10" s="76" t="s">
        <v>395</v>
      </c>
      <c r="BB10" s="45">
        <v>54.53</v>
      </c>
      <c r="BC10" s="45"/>
      <c r="BD10" s="79"/>
      <c r="BF10" s="76" t="s">
        <v>395</v>
      </c>
      <c r="BG10" s="45">
        <v>183.82</v>
      </c>
      <c r="BH10" s="45"/>
      <c r="BI10" s="79"/>
    </row>
    <row r="11" spans="3:61" ht="19">
      <c r="C11" s="76" t="s">
        <v>234</v>
      </c>
      <c r="D11" s="45">
        <v>149.1</v>
      </c>
      <c r="E11" s="45"/>
      <c r="F11" s="79"/>
      <c r="H11" s="76" t="s">
        <v>234</v>
      </c>
      <c r="I11" s="45">
        <v>278.8</v>
      </c>
      <c r="J11" s="45"/>
      <c r="K11" s="79"/>
      <c r="M11" s="76" t="s">
        <v>234</v>
      </c>
      <c r="N11" s="45">
        <v>183.27</v>
      </c>
      <c r="O11" s="45"/>
      <c r="P11" s="79"/>
      <c r="R11" s="76" t="s">
        <v>234</v>
      </c>
      <c r="S11" s="45">
        <v>123.19</v>
      </c>
      <c r="T11" s="45"/>
      <c r="U11" s="79"/>
      <c r="W11" s="76" t="s">
        <v>234</v>
      </c>
      <c r="X11" s="45">
        <v>216.47</v>
      </c>
      <c r="Y11" s="45"/>
      <c r="Z11" s="79"/>
      <c r="AB11" s="76" t="s">
        <v>234</v>
      </c>
      <c r="AC11" s="45">
        <v>149.97999999999999</v>
      </c>
      <c r="AD11" s="45"/>
      <c r="AE11" s="79"/>
      <c r="AG11" s="76" t="s">
        <v>234</v>
      </c>
      <c r="AH11" s="45">
        <v>313.33999999999997</v>
      </c>
      <c r="AI11" s="45"/>
      <c r="AJ11" s="79"/>
      <c r="AL11" s="76" t="s">
        <v>234</v>
      </c>
      <c r="AM11" s="45">
        <v>118.27</v>
      </c>
      <c r="AN11" s="45"/>
      <c r="AO11" s="79"/>
      <c r="AQ11" s="76" t="s">
        <v>234</v>
      </c>
      <c r="AR11" s="45">
        <v>75.84</v>
      </c>
      <c r="AS11" s="45"/>
      <c r="AT11" s="79"/>
      <c r="AV11" s="76" t="s">
        <v>234</v>
      </c>
      <c r="AW11" s="45">
        <v>133.24</v>
      </c>
      <c r="AX11" s="45"/>
      <c r="AY11" s="79"/>
      <c r="BA11" s="76" t="s">
        <v>234</v>
      </c>
      <c r="BB11" s="45">
        <v>127.13</v>
      </c>
      <c r="BC11" s="45"/>
      <c r="BD11" s="79"/>
      <c r="BF11" s="76" t="s">
        <v>395</v>
      </c>
      <c r="BG11" s="45">
        <v>44.96</v>
      </c>
      <c r="BH11" s="45"/>
      <c r="BI11" s="79"/>
    </row>
    <row r="12" spans="3:61" ht="19">
      <c r="C12" s="76" t="s">
        <v>499</v>
      </c>
      <c r="D12" s="45">
        <v>10</v>
      </c>
      <c r="E12" s="45"/>
      <c r="F12" s="79"/>
      <c r="H12" s="76" t="s">
        <v>499</v>
      </c>
      <c r="I12" s="45">
        <v>10</v>
      </c>
      <c r="J12" s="45"/>
      <c r="K12" s="79"/>
      <c r="M12" s="76" t="s">
        <v>499</v>
      </c>
      <c r="N12" s="45">
        <v>10</v>
      </c>
      <c r="O12" s="45"/>
      <c r="P12" s="79"/>
      <c r="R12" s="76" t="s">
        <v>499</v>
      </c>
      <c r="S12" s="45">
        <v>10</v>
      </c>
      <c r="T12" s="45"/>
      <c r="U12" s="79"/>
      <c r="W12" s="76" t="s">
        <v>499</v>
      </c>
      <c r="X12" s="45">
        <v>10</v>
      </c>
      <c r="Y12" s="45"/>
      <c r="Z12" s="79"/>
      <c r="AB12" s="76" t="s">
        <v>499</v>
      </c>
      <c r="AC12" s="45">
        <v>10</v>
      </c>
      <c r="AD12" s="45"/>
      <c r="AE12" s="79"/>
      <c r="AG12" s="76" t="s">
        <v>499</v>
      </c>
      <c r="AH12" s="45">
        <v>10</v>
      </c>
      <c r="AI12" s="45"/>
      <c r="AJ12" s="79"/>
      <c r="AL12" s="76" t="s">
        <v>499</v>
      </c>
      <c r="AM12" s="45">
        <v>0</v>
      </c>
      <c r="AN12" s="45"/>
      <c r="AO12" s="79"/>
      <c r="AQ12" s="76" t="s">
        <v>499</v>
      </c>
      <c r="AR12" s="45">
        <v>20</v>
      </c>
      <c r="AS12" s="45"/>
      <c r="AT12" s="79"/>
      <c r="AV12" s="76" t="s">
        <v>499</v>
      </c>
      <c r="AW12" s="45">
        <v>10</v>
      </c>
      <c r="AX12" s="45"/>
      <c r="AY12" s="79"/>
      <c r="BA12" s="76" t="s">
        <v>499</v>
      </c>
      <c r="BB12" s="45">
        <v>0</v>
      </c>
      <c r="BC12" s="45"/>
      <c r="BD12" s="79"/>
      <c r="BF12" s="76" t="s">
        <v>234</v>
      </c>
      <c r="BG12" s="45">
        <v>414.12</v>
      </c>
      <c r="BH12" s="45"/>
      <c r="BI12" s="79"/>
    </row>
    <row r="13" spans="3:61" ht="19">
      <c r="C13" s="76" t="s">
        <v>500</v>
      </c>
      <c r="D13" s="45">
        <v>5000</v>
      </c>
      <c r="E13" s="45"/>
      <c r="F13" s="79"/>
      <c r="H13" s="76" t="s">
        <v>464</v>
      </c>
      <c r="I13" s="45">
        <v>100</v>
      </c>
      <c r="J13" s="45"/>
      <c r="K13" s="79"/>
      <c r="M13" s="50" t="s">
        <v>504</v>
      </c>
      <c r="N13" s="45">
        <v>1000</v>
      </c>
      <c r="O13" s="45"/>
      <c r="P13" s="79"/>
      <c r="R13" s="76" t="s">
        <v>508</v>
      </c>
      <c r="S13" s="45">
        <v>10103</v>
      </c>
      <c r="T13" s="45"/>
      <c r="U13" s="79"/>
      <c r="W13" s="83" t="s">
        <v>510</v>
      </c>
      <c r="X13" s="77">
        <v>120</v>
      </c>
      <c r="Y13" s="45"/>
      <c r="Z13" s="79"/>
      <c r="AB13" s="83"/>
      <c r="AC13" s="77"/>
      <c r="AD13" s="45"/>
      <c r="AE13" s="79"/>
      <c r="AG13" s="83"/>
      <c r="AH13" s="77"/>
      <c r="AI13" s="45"/>
      <c r="AJ13" s="79"/>
      <c r="AL13" s="83"/>
      <c r="AM13" s="77"/>
      <c r="AN13" s="45"/>
      <c r="AO13" s="79"/>
      <c r="AQ13" s="83"/>
      <c r="AR13" s="77"/>
      <c r="AS13" s="45"/>
      <c r="AT13" s="79"/>
      <c r="AV13" s="83"/>
      <c r="AW13" s="77"/>
      <c r="AX13" s="45"/>
      <c r="AY13" s="79"/>
      <c r="BA13" s="83"/>
      <c r="BB13" s="77"/>
      <c r="BC13" s="45"/>
      <c r="BD13" s="79"/>
      <c r="BF13" s="83" t="s">
        <v>617</v>
      </c>
      <c r="BG13" s="77">
        <v>410</v>
      </c>
      <c r="BH13" s="45"/>
      <c r="BI13" s="79"/>
    </row>
    <row r="14" spans="3:61" ht="19">
      <c r="C14" s="76"/>
      <c r="D14" s="45"/>
      <c r="E14" s="45"/>
      <c r="F14" s="79"/>
      <c r="H14" s="50"/>
      <c r="J14" s="45"/>
      <c r="K14" s="79"/>
      <c r="M14" s="76" t="s">
        <v>495</v>
      </c>
      <c r="N14" s="45">
        <v>4000</v>
      </c>
      <c r="O14" s="45"/>
      <c r="P14" s="79"/>
      <c r="R14" s="76" t="s">
        <v>495</v>
      </c>
      <c r="S14" s="45">
        <v>1000</v>
      </c>
      <c r="T14" s="45"/>
      <c r="U14" s="79"/>
      <c r="W14" s="50"/>
      <c r="Y14" s="45"/>
      <c r="Z14" s="79"/>
      <c r="AB14" s="50"/>
      <c r="AD14" s="45"/>
      <c r="AE14" s="79"/>
      <c r="AG14" s="50"/>
      <c r="AI14" s="45"/>
      <c r="AJ14" s="79"/>
      <c r="AL14" s="50"/>
      <c r="AN14" s="45"/>
      <c r="AO14" s="79"/>
      <c r="AQ14" s="50"/>
      <c r="AS14" s="45"/>
      <c r="AT14" s="79"/>
      <c r="AV14" s="50"/>
      <c r="AX14" s="45"/>
      <c r="AY14" s="79"/>
      <c r="BA14" s="50"/>
      <c r="BC14" s="45"/>
      <c r="BD14" s="79"/>
      <c r="BF14" s="50"/>
      <c r="BH14" s="45"/>
      <c r="BI14" s="79"/>
    </row>
    <row r="15" spans="3:61" ht="19">
      <c r="C15" s="76"/>
      <c r="D15" s="45"/>
      <c r="E15" s="45"/>
      <c r="F15" s="79"/>
      <c r="H15" s="76"/>
      <c r="I15" s="45"/>
      <c r="J15" s="45"/>
      <c r="K15" s="79"/>
      <c r="O15" s="45"/>
      <c r="P15" s="79"/>
      <c r="R15" s="76" t="s">
        <v>194</v>
      </c>
      <c r="S15" s="45">
        <v>100</v>
      </c>
      <c r="T15" s="45"/>
      <c r="U15" s="79"/>
      <c r="W15" s="50"/>
      <c r="Y15" s="45"/>
      <c r="Z15" s="79"/>
      <c r="AB15" s="50"/>
      <c r="AD15" s="45"/>
      <c r="AE15" s="79"/>
      <c r="AG15" s="50"/>
      <c r="AI15" s="45"/>
      <c r="AJ15" s="79"/>
      <c r="AL15" s="50"/>
      <c r="AN15" s="45"/>
      <c r="AO15" s="79"/>
      <c r="AQ15" s="50"/>
      <c r="AS15" s="45"/>
      <c r="AT15" s="79"/>
      <c r="AV15" s="50"/>
      <c r="AX15" s="45"/>
      <c r="AY15" s="79"/>
      <c r="BA15" s="50"/>
      <c r="BC15" s="45"/>
      <c r="BD15" s="79"/>
      <c r="BF15" s="50"/>
      <c r="BH15" s="45"/>
      <c r="BI15" s="79"/>
    </row>
    <row r="16" spans="3:61" ht="19">
      <c r="C16" s="83" t="s">
        <v>34</v>
      </c>
      <c r="D16" s="77">
        <v>7198.67</v>
      </c>
      <c r="E16" s="77">
        <v>500</v>
      </c>
      <c r="F16" s="80"/>
      <c r="H16" s="83" t="s">
        <v>34</v>
      </c>
      <c r="I16" s="77">
        <v>2931.64</v>
      </c>
      <c r="J16" s="77">
        <v>0</v>
      </c>
      <c r="K16" s="80"/>
      <c r="M16" s="83" t="s">
        <v>34</v>
      </c>
      <c r="N16" s="77">
        <v>7740</v>
      </c>
      <c r="O16" s="77">
        <v>500</v>
      </c>
      <c r="P16" s="80"/>
      <c r="R16" s="83" t="s">
        <v>507</v>
      </c>
      <c r="S16" s="77">
        <v>27</v>
      </c>
      <c r="T16" s="77"/>
      <c r="U16" s="80"/>
      <c r="W16" s="50"/>
      <c r="Y16" s="77"/>
      <c r="Z16" s="80"/>
      <c r="AB16" s="50"/>
      <c r="AD16" s="77"/>
      <c r="AE16" s="80"/>
      <c r="AG16" s="50"/>
      <c r="AI16" s="77"/>
      <c r="AJ16" s="80"/>
      <c r="AL16" s="50"/>
      <c r="AN16" s="77"/>
      <c r="AO16" s="80"/>
      <c r="AQ16" s="50"/>
      <c r="AS16" s="77"/>
      <c r="AT16" s="80"/>
      <c r="AV16" s="50"/>
      <c r="AX16" s="77"/>
      <c r="AY16" s="80"/>
      <c r="BA16" s="50"/>
      <c r="BC16" s="77"/>
      <c r="BD16" s="80"/>
      <c r="BF16" s="50"/>
      <c r="BH16" s="77"/>
      <c r="BI16" s="80"/>
    </row>
    <row r="17" spans="6:63" ht="19">
      <c r="R17" s="83" t="s">
        <v>34</v>
      </c>
      <c r="S17" s="77">
        <v>13384.04</v>
      </c>
      <c r="T17" s="53">
        <v>664.92</v>
      </c>
      <c r="U17" s="54"/>
      <c r="W17" s="83" t="s">
        <v>34</v>
      </c>
      <c r="X17" s="77">
        <v>28716</v>
      </c>
      <c r="Y17" s="53">
        <v>602.15</v>
      </c>
      <c r="Z17" s="54"/>
      <c r="AB17" s="83" t="s">
        <v>34</v>
      </c>
      <c r="AC17" s="77">
        <v>2256.16</v>
      </c>
      <c r="AD17" s="53">
        <v>555.19000000000005</v>
      </c>
      <c r="AE17" s="54"/>
      <c r="AG17" s="83" t="s">
        <v>34</v>
      </c>
      <c r="AH17" s="77">
        <v>2588.67</v>
      </c>
      <c r="AI17" s="53">
        <v>584.36</v>
      </c>
      <c r="AJ17" s="54"/>
      <c r="AL17" s="83" t="s">
        <v>34</v>
      </c>
      <c r="AM17" s="77">
        <v>2543.2399999999998</v>
      </c>
      <c r="AN17" s="53">
        <v>505.52</v>
      </c>
      <c r="AO17" s="54"/>
      <c r="AQ17" s="83" t="s">
        <v>34</v>
      </c>
      <c r="AR17" s="77">
        <v>2182.67</v>
      </c>
      <c r="AS17" s="53">
        <v>3770.19</v>
      </c>
      <c r="AT17" s="54"/>
      <c r="AV17" s="83" t="s">
        <v>34</v>
      </c>
      <c r="AW17" s="77">
        <v>1978.22</v>
      </c>
      <c r="AX17" s="53">
        <v>992.69</v>
      </c>
      <c r="AY17" s="54"/>
      <c r="BA17" s="83" t="s">
        <v>34</v>
      </c>
      <c r="BB17" s="77">
        <v>2053.7800000000002</v>
      </c>
      <c r="BC17" s="45">
        <v>1628.36</v>
      </c>
      <c r="BD17" s="54"/>
      <c r="BF17" s="83" t="s">
        <v>34</v>
      </c>
      <c r="BG17" s="77">
        <v>2904.58</v>
      </c>
      <c r="BH17" s="53">
        <v>2198.44</v>
      </c>
      <c r="BI17" s="54"/>
    </row>
    <row r="18" spans="6:63" s="332" customFormat="1" ht="19">
      <c r="F18" s="331">
        <v>7699</v>
      </c>
      <c r="K18" s="333">
        <v>2931.64</v>
      </c>
      <c r="P18" s="331">
        <v>8240</v>
      </c>
      <c r="U18" s="332">
        <v>14049</v>
      </c>
      <c r="Z18" s="332">
        <v>29318</v>
      </c>
      <c r="AE18" s="332">
        <v>2811</v>
      </c>
      <c r="AJ18" s="332">
        <v>3173</v>
      </c>
      <c r="AO18" s="332">
        <v>3048</v>
      </c>
      <c r="AT18" s="332">
        <v>5952</v>
      </c>
      <c r="AY18" s="332">
        <v>2971</v>
      </c>
      <c r="BD18" s="332">
        <v>3682</v>
      </c>
      <c r="BI18" s="332">
        <v>5103</v>
      </c>
      <c r="BK18" s="334">
        <v>89000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15B1-7883-1F4D-936B-BFC62A8466CF}">
  <dimension ref="C5:BK18"/>
  <sheetViews>
    <sheetView topLeftCell="BD1" workbookViewId="0">
      <selection activeCell="BI26" sqref="BI26"/>
    </sheetView>
  </sheetViews>
  <sheetFormatPr baseColWidth="10" defaultRowHeight="21"/>
  <cols>
    <col min="1" max="2" width="10.83203125" style="285"/>
    <col min="3" max="3" width="11.6640625" style="285" bestFit="1" customWidth="1"/>
    <col min="4" max="5" width="10.83203125" style="285"/>
    <col min="6" max="6" width="15.6640625" style="285" bestFit="1" customWidth="1"/>
    <col min="7" max="7" width="10.83203125" style="285"/>
    <col min="8" max="8" width="11.6640625" style="285" bestFit="1" customWidth="1"/>
    <col min="9" max="9" width="10.83203125" style="285"/>
    <col min="10" max="10" width="14" style="285" customWidth="1"/>
    <col min="11" max="11" width="15.6640625" style="285" bestFit="1" customWidth="1"/>
    <col min="12" max="12" width="10.83203125" style="285"/>
    <col min="13" max="13" width="13.1640625" style="285" customWidth="1"/>
    <col min="14" max="17" width="10.83203125" style="285"/>
    <col min="18" max="18" width="15.5" style="285" customWidth="1"/>
    <col min="19" max="20" width="10.83203125" style="285"/>
    <col min="21" max="21" width="16.5" style="285" customWidth="1"/>
    <col min="22" max="22" width="10.83203125" style="285"/>
    <col min="23" max="23" width="15.83203125" style="285" bestFit="1" customWidth="1"/>
    <col min="24" max="25" width="10.83203125" style="285"/>
    <col min="26" max="26" width="18.5" style="285" bestFit="1" customWidth="1"/>
    <col min="27" max="27" width="10.83203125" style="285"/>
    <col min="28" max="28" width="15.83203125" style="285" bestFit="1" customWidth="1"/>
    <col min="29" max="29" width="10.83203125" style="285"/>
    <col min="30" max="30" width="14.5" style="285" customWidth="1"/>
    <col min="31" max="31" width="18.5" style="285" bestFit="1" customWidth="1"/>
    <col min="32" max="32" width="10.83203125" style="285"/>
    <col min="33" max="33" width="13.5" style="285" bestFit="1" customWidth="1"/>
    <col min="34" max="34" width="10.83203125" style="285"/>
    <col min="35" max="35" width="15.1640625" style="285" customWidth="1"/>
    <col min="36" max="36" width="18.5" style="285" bestFit="1" customWidth="1"/>
    <col min="37" max="37" width="10.83203125" style="285"/>
    <col min="38" max="38" width="13.5" style="285" bestFit="1" customWidth="1"/>
    <col min="39" max="39" width="18" style="285" customWidth="1"/>
    <col min="40" max="40" width="15.5" style="285" customWidth="1"/>
    <col min="41" max="41" width="18.5" style="285" bestFit="1" customWidth="1"/>
    <col min="42" max="42" width="10.83203125" style="285"/>
    <col min="43" max="43" width="19.6640625" style="285" customWidth="1"/>
    <col min="44" max="44" width="10.83203125" style="285"/>
    <col min="45" max="45" width="11" style="285" customWidth="1"/>
    <col min="46" max="46" width="18.5" style="285" bestFit="1" customWidth="1"/>
    <col min="47" max="47" width="10.83203125" style="285"/>
    <col min="48" max="48" width="13.5" style="285" bestFit="1" customWidth="1"/>
    <col min="49" max="49" width="14.6640625" style="285" customWidth="1"/>
    <col min="50" max="50" width="17.33203125" style="285" customWidth="1"/>
    <col min="51" max="51" width="23.33203125" style="285" customWidth="1"/>
    <col min="52" max="52" width="10.83203125" style="285"/>
    <col min="53" max="53" width="13.5" style="285" bestFit="1" customWidth="1"/>
    <col min="54" max="54" width="10.83203125" style="285"/>
    <col min="55" max="55" width="19.5" style="285" customWidth="1"/>
    <col min="56" max="56" width="18.5" style="285" bestFit="1" customWidth="1"/>
    <col min="57" max="57" width="10.83203125" style="285"/>
    <col min="58" max="58" width="13.5" style="285" bestFit="1" customWidth="1"/>
    <col min="59" max="59" width="13.33203125" style="285" customWidth="1"/>
    <col min="60" max="60" width="10.83203125" style="285"/>
    <col min="61" max="61" width="18.5" style="285" bestFit="1" customWidth="1"/>
    <col min="62" max="16384" width="10.83203125" style="285"/>
  </cols>
  <sheetData>
    <row r="5" spans="3:61">
      <c r="C5" s="281" t="s">
        <v>35</v>
      </c>
      <c r="D5" s="282" t="s">
        <v>46</v>
      </c>
      <c r="E5" s="283" t="s">
        <v>141</v>
      </c>
      <c r="F5" s="284"/>
      <c r="H5" s="281" t="s">
        <v>629</v>
      </c>
      <c r="I5" s="282" t="s">
        <v>46</v>
      </c>
      <c r="J5" s="283" t="s">
        <v>141</v>
      </c>
      <c r="K5" s="284"/>
      <c r="M5" s="281" t="s">
        <v>37</v>
      </c>
      <c r="N5" s="282" t="s">
        <v>46</v>
      </c>
      <c r="O5" s="283" t="s">
        <v>141</v>
      </c>
      <c r="P5" s="284"/>
      <c r="R5" s="281" t="s">
        <v>0</v>
      </c>
      <c r="S5" s="282" t="s">
        <v>46</v>
      </c>
      <c r="T5" s="283" t="s">
        <v>141</v>
      </c>
      <c r="U5" s="284"/>
      <c r="W5" s="281" t="s">
        <v>2</v>
      </c>
      <c r="X5" s="282" t="s">
        <v>46</v>
      </c>
      <c r="Y5" s="283" t="s">
        <v>141</v>
      </c>
      <c r="Z5" s="284"/>
      <c r="AB5" s="281" t="s">
        <v>3</v>
      </c>
      <c r="AC5" s="282" t="s">
        <v>46</v>
      </c>
      <c r="AD5" s="283" t="s">
        <v>141</v>
      </c>
      <c r="AE5" s="284"/>
      <c r="AG5" s="281" t="s">
        <v>4</v>
      </c>
      <c r="AH5" s="282" t="s">
        <v>46</v>
      </c>
      <c r="AI5" s="283" t="s">
        <v>141</v>
      </c>
      <c r="AJ5" s="284"/>
      <c r="AL5" s="281" t="s">
        <v>5</v>
      </c>
      <c r="AM5" s="282" t="s">
        <v>46</v>
      </c>
      <c r="AN5" s="283" t="s">
        <v>141</v>
      </c>
      <c r="AO5" s="284"/>
      <c r="AQ5" s="281" t="s">
        <v>6</v>
      </c>
      <c r="AR5" s="282" t="s">
        <v>46</v>
      </c>
      <c r="AS5" s="283" t="s">
        <v>141</v>
      </c>
      <c r="AT5" s="284"/>
      <c r="AV5" s="281" t="s">
        <v>7</v>
      </c>
      <c r="AW5" s="282" t="s">
        <v>46</v>
      </c>
      <c r="AX5" s="283" t="s">
        <v>141</v>
      </c>
      <c r="AY5" s="284"/>
      <c r="BA5" s="370" t="s">
        <v>8</v>
      </c>
      <c r="BB5" s="282" t="s">
        <v>46</v>
      </c>
      <c r="BC5" s="283" t="s">
        <v>141</v>
      </c>
      <c r="BD5" s="371"/>
      <c r="BF5" s="370" t="s">
        <v>9</v>
      </c>
      <c r="BG5" s="282" t="s">
        <v>46</v>
      </c>
      <c r="BH5" s="283" t="s">
        <v>141</v>
      </c>
      <c r="BI5" s="371"/>
    </row>
    <row r="6" spans="3:61">
      <c r="C6" s="286" t="s">
        <v>191</v>
      </c>
      <c r="D6" s="285">
        <v>1753</v>
      </c>
      <c r="E6" s="285">
        <v>1625</v>
      </c>
      <c r="F6" s="287" t="s">
        <v>589</v>
      </c>
      <c r="H6" s="286" t="s">
        <v>191</v>
      </c>
      <c r="I6" s="285">
        <v>1753</v>
      </c>
      <c r="J6" s="285">
        <v>21</v>
      </c>
      <c r="K6" s="287" t="s">
        <v>370</v>
      </c>
      <c r="M6" s="286" t="s">
        <v>191</v>
      </c>
      <c r="N6" s="285">
        <v>1751</v>
      </c>
      <c r="O6" s="285">
        <v>3354</v>
      </c>
      <c r="P6" s="287" t="s">
        <v>370</v>
      </c>
      <c r="R6" s="286" t="s">
        <v>191</v>
      </c>
      <c r="S6" s="285">
        <v>1752</v>
      </c>
      <c r="T6" s="285">
        <v>18</v>
      </c>
      <c r="U6" s="287" t="s">
        <v>370</v>
      </c>
      <c r="W6" s="286" t="s">
        <v>191</v>
      </c>
      <c r="X6" s="285">
        <v>1868</v>
      </c>
      <c r="Y6" s="285">
        <v>404</v>
      </c>
      <c r="Z6" s="287" t="s">
        <v>370</v>
      </c>
      <c r="AB6" s="286" t="s">
        <v>191</v>
      </c>
      <c r="AC6" s="285">
        <v>1863</v>
      </c>
      <c r="AD6" s="285">
        <v>241</v>
      </c>
      <c r="AE6" s="287" t="s">
        <v>370</v>
      </c>
      <c r="AG6" s="286" t="s">
        <v>191</v>
      </c>
      <c r="AH6" s="285">
        <v>1861</v>
      </c>
      <c r="AJ6" s="287" t="s">
        <v>370</v>
      </c>
      <c r="AL6" s="286" t="s">
        <v>191</v>
      </c>
      <c r="AM6" s="285">
        <v>1866</v>
      </c>
      <c r="AN6" s="285">
        <v>330</v>
      </c>
      <c r="AO6" s="287" t="s">
        <v>370</v>
      </c>
      <c r="AQ6" s="286" t="s">
        <v>191</v>
      </c>
      <c r="AR6" s="285">
        <v>1881</v>
      </c>
      <c r="AT6" s="287" t="s">
        <v>370</v>
      </c>
      <c r="AV6" s="286" t="s">
        <v>191</v>
      </c>
      <c r="AW6" s="285">
        <v>1885</v>
      </c>
      <c r="AX6" s="285">
        <v>0</v>
      </c>
      <c r="AY6" s="287" t="s">
        <v>370</v>
      </c>
      <c r="BA6" s="286" t="s">
        <v>191</v>
      </c>
      <c r="BB6" s="285">
        <v>1877</v>
      </c>
      <c r="BD6" s="287" t="s">
        <v>370</v>
      </c>
      <c r="BF6" s="286" t="s">
        <v>191</v>
      </c>
      <c r="BG6" s="285">
        <v>1880</v>
      </c>
      <c r="BH6" s="285">
        <v>341</v>
      </c>
      <c r="BI6" s="287" t="s">
        <v>370</v>
      </c>
    </row>
    <row r="7" spans="3:61">
      <c r="C7" s="286" t="s">
        <v>108</v>
      </c>
      <c r="D7" s="288">
        <v>92</v>
      </c>
      <c r="F7" s="287"/>
      <c r="H7" s="286" t="s">
        <v>108</v>
      </c>
      <c r="I7" s="288">
        <v>139</v>
      </c>
      <c r="K7" s="287"/>
      <c r="M7" s="286" t="s">
        <v>108</v>
      </c>
      <c r="N7" s="285">
        <v>123</v>
      </c>
      <c r="P7" s="287"/>
      <c r="R7" s="286" t="s">
        <v>108</v>
      </c>
      <c r="S7" s="285">
        <v>111</v>
      </c>
      <c r="T7" s="285">
        <v>790</v>
      </c>
      <c r="U7" s="287" t="s">
        <v>589</v>
      </c>
      <c r="W7" s="286" t="s">
        <v>108</v>
      </c>
      <c r="X7" s="285">
        <v>125</v>
      </c>
      <c r="Z7" s="287" t="s">
        <v>589</v>
      </c>
      <c r="AB7" s="286" t="s">
        <v>108</v>
      </c>
      <c r="AC7" s="285">
        <v>110</v>
      </c>
      <c r="AD7" s="285">
        <v>654</v>
      </c>
      <c r="AE7" s="287" t="s">
        <v>589</v>
      </c>
      <c r="AG7" s="286" t="s">
        <v>108</v>
      </c>
      <c r="AH7" s="285">
        <v>25</v>
      </c>
      <c r="AI7" s="285">
        <v>1634</v>
      </c>
      <c r="AJ7" s="287" t="s">
        <v>589</v>
      </c>
      <c r="AL7" s="286" t="s">
        <v>108</v>
      </c>
      <c r="AM7" s="285">
        <v>102</v>
      </c>
      <c r="AO7" s="287" t="s">
        <v>589</v>
      </c>
      <c r="AQ7" s="286" t="s">
        <v>108</v>
      </c>
      <c r="AR7" s="285">
        <v>114</v>
      </c>
      <c r="AS7" s="285">
        <v>2906</v>
      </c>
      <c r="AT7" s="287" t="s">
        <v>589</v>
      </c>
      <c r="AV7" s="286" t="s">
        <v>108</v>
      </c>
      <c r="AW7" s="285">
        <v>104</v>
      </c>
      <c r="AX7" s="285">
        <v>339</v>
      </c>
      <c r="AY7" s="287" t="s">
        <v>589</v>
      </c>
      <c r="BA7" s="286" t="s">
        <v>108</v>
      </c>
      <c r="BB7" s="285">
        <v>130</v>
      </c>
      <c r="BC7" s="285">
        <v>1190</v>
      </c>
      <c r="BD7" s="287" t="s">
        <v>589</v>
      </c>
      <c r="BF7" s="286" t="s">
        <v>108</v>
      </c>
      <c r="BG7" s="285">
        <v>103</v>
      </c>
      <c r="BH7" s="285">
        <v>100</v>
      </c>
      <c r="BI7" s="287" t="s">
        <v>272</v>
      </c>
    </row>
    <row r="8" spans="3:61">
      <c r="C8" s="286" t="s">
        <v>155</v>
      </c>
      <c r="D8" s="285">
        <v>18</v>
      </c>
      <c r="H8" s="286" t="s">
        <v>155</v>
      </c>
      <c r="I8" s="285">
        <v>195</v>
      </c>
      <c r="K8" s="287"/>
      <c r="M8" s="286" t="s">
        <v>155</v>
      </c>
      <c r="N8" s="285">
        <v>184</v>
      </c>
      <c r="P8" s="287"/>
      <c r="R8" s="286" t="s">
        <v>155</v>
      </c>
      <c r="S8" s="285">
        <v>0</v>
      </c>
      <c r="U8" s="287"/>
      <c r="W8" s="286" t="s">
        <v>155</v>
      </c>
      <c r="Z8" s="287"/>
      <c r="AB8" s="286" t="s">
        <v>155</v>
      </c>
      <c r="AE8" s="287"/>
      <c r="AG8" s="286" t="s">
        <v>155</v>
      </c>
      <c r="AJ8" s="287"/>
      <c r="AL8" s="286" t="s">
        <v>155</v>
      </c>
      <c r="AO8" s="287"/>
      <c r="AQ8" s="286" t="s">
        <v>155</v>
      </c>
      <c r="AS8" s="285">
        <v>500</v>
      </c>
      <c r="AT8" s="287" t="s">
        <v>401</v>
      </c>
      <c r="AV8" s="286" t="s">
        <v>155</v>
      </c>
      <c r="AX8" s="285">
        <v>500</v>
      </c>
      <c r="AY8" s="287" t="s">
        <v>401</v>
      </c>
      <c r="BA8" s="286" t="s">
        <v>155</v>
      </c>
      <c r="BC8" s="285">
        <v>500</v>
      </c>
      <c r="BD8" s="287" t="s">
        <v>401</v>
      </c>
      <c r="BF8" s="286" t="s">
        <v>155</v>
      </c>
      <c r="BG8" s="285">
        <v>173</v>
      </c>
      <c r="BI8" s="287"/>
    </row>
    <row r="9" spans="3:61">
      <c r="C9" s="286" t="s">
        <v>248</v>
      </c>
      <c r="D9" s="285">
        <v>0</v>
      </c>
      <c r="F9" s="287"/>
      <c r="H9" s="286" t="s">
        <v>248</v>
      </c>
      <c r="I9" s="285">
        <v>15</v>
      </c>
      <c r="K9" s="287"/>
      <c r="M9" s="286" t="s">
        <v>248</v>
      </c>
      <c r="N9" s="285">
        <v>152</v>
      </c>
      <c r="P9" s="287"/>
      <c r="R9" s="286" t="s">
        <v>248</v>
      </c>
      <c r="S9" s="285">
        <v>105</v>
      </c>
      <c r="U9" s="287"/>
      <c r="W9" s="286" t="s">
        <v>248</v>
      </c>
      <c r="X9" s="285">
        <v>57</v>
      </c>
      <c r="Z9" s="287"/>
      <c r="AB9" s="286" t="s">
        <v>248</v>
      </c>
      <c r="AE9" s="287"/>
      <c r="AG9" s="286" t="s">
        <v>248</v>
      </c>
      <c r="AJ9" s="287"/>
      <c r="AL9" s="286" t="s">
        <v>248</v>
      </c>
      <c r="AO9" s="287"/>
      <c r="AQ9" s="286" t="s">
        <v>248</v>
      </c>
      <c r="AT9" s="287"/>
      <c r="AV9" s="286" t="s">
        <v>248</v>
      </c>
      <c r="AX9" s="285">
        <v>100</v>
      </c>
      <c r="AY9" s="287" t="s">
        <v>272</v>
      </c>
      <c r="BA9" s="286" t="s">
        <v>248</v>
      </c>
      <c r="BB9" s="285">
        <v>350</v>
      </c>
      <c r="BD9" s="287" t="s">
        <v>272</v>
      </c>
      <c r="BF9" s="286" t="s">
        <v>248</v>
      </c>
      <c r="BG9" s="285">
        <v>138</v>
      </c>
    </row>
    <row r="10" spans="3:61">
      <c r="C10" s="286" t="s">
        <v>395</v>
      </c>
      <c r="D10" s="285">
        <v>255</v>
      </c>
      <c r="F10" s="287"/>
      <c r="H10" s="286" t="s">
        <v>395</v>
      </c>
      <c r="I10" s="285">
        <v>165</v>
      </c>
      <c r="K10" s="287"/>
      <c r="M10" s="286" t="s">
        <v>395</v>
      </c>
      <c r="N10" s="285">
        <v>270</v>
      </c>
      <c r="P10" s="287"/>
      <c r="R10" s="286" t="s">
        <v>395</v>
      </c>
      <c r="S10" s="285">
        <v>200</v>
      </c>
      <c r="U10" s="287"/>
      <c r="W10" s="286" t="s">
        <v>395</v>
      </c>
      <c r="X10" s="285">
        <v>255</v>
      </c>
      <c r="Z10" s="287"/>
      <c r="AB10" s="286" t="s">
        <v>395</v>
      </c>
      <c r="AC10" s="285">
        <v>380</v>
      </c>
      <c r="AE10" s="287"/>
      <c r="AG10" s="286" t="s">
        <v>395</v>
      </c>
      <c r="AJ10" s="287"/>
      <c r="AL10" s="286" t="s">
        <v>395</v>
      </c>
      <c r="AO10" s="287"/>
      <c r="AQ10" s="286" t="s">
        <v>395</v>
      </c>
      <c r="AT10" s="287"/>
      <c r="AV10" s="286" t="s">
        <v>395</v>
      </c>
      <c r="AY10" s="287"/>
      <c r="BA10" s="286" t="s">
        <v>395</v>
      </c>
      <c r="BB10" s="285">
        <v>307</v>
      </c>
      <c r="BD10" s="287"/>
      <c r="BF10" s="286" t="s">
        <v>395</v>
      </c>
      <c r="BG10" s="285">
        <v>171</v>
      </c>
      <c r="BI10" s="287"/>
    </row>
    <row r="11" spans="3:61">
      <c r="C11" s="286" t="s">
        <v>234</v>
      </c>
      <c r="D11" s="285">
        <v>86</v>
      </c>
      <c r="F11" s="287"/>
      <c r="H11" s="286" t="s">
        <v>234</v>
      </c>
      <c r="I11" s="285">
        <v>59</v>
      </c>
      <c r="K11" s="287"/>
      <c r="M11" s="286" t="s">
        <v>234</v>
      </c>
      <c r="N11" s="285">
        <v>157</v>
      </c>
      <c r="P11" s="287"/>
      <c r="R11" s="286" t="s">
        <v>234</v>
      </c>
      <c r="S11" s="285">
        <v>74</v>
      </c>
      <c r="U11" s="287"/>
      <c r="W11" s="286" t="s">
        <v>234</v>
      </c>
      <c r="X11" s="285">
        <v>107</v>
      </c>
      <c r="Z11" s="287"/>
      <c r="AB11" s="286" t="s">
        <v>234</v>
      </c>
      <c r="AC11" s="285">
        <v>73</v>
      </c>
      <c r="AE11" s="287"/>
      <c r="AG11" s="286" t="s">
        <v>234</v>
      </c>
      <c r="AH11" s="285">
        <v>41</v>
      </c>
      <c r="AJ11" s="287"/>
      <c r="AL11" s="286" t="s">
        <v>234</v>
      </c>
      <c r="AM11" s="285">
        <v>82</v>
      </c>
      <c r="AO11" s="287"/>
      <c r="AQ11" s="286" t="s">
        <v>234</v>
      </c>
      <c r="AR11" s="285">
        <v>61</v>
      </c>
      <c r="AT11" s="287"/>
      <c r="AV11" s="286" t="s">
        <v>234</v>
      </c>
      <c r="AW11" s="285">
        <v>104</v>
      </c>
      <c r="AY11" s="287"/>
      <c r="BA11" s="286" t="s">
        <v>234</v>
      </c>
      <c r="BB11" s="285">
        <v>59</v>
      </c>
      <c r="BD11" s="287"/>
      <c r="BF11" s="286" t="s">
        <v>234</v>
      </c>
      <c r="BG11" s="285">
        <v>358</v>
      </c>
      <c r="BI11" s="287"/>
    </row>
    <row r="12" spans="3:61">
      <c r="C12" s="286" t="s">
        <v>499</v>
      </c>
      <c r="D12" s="285">
        <v>30</v>
      </c>
      <c r="F12" s="287"/>
      <c r="H12" s="286" t="s">
        <v>499</v>
      </c>
      <c r="K12" s="287"/>
      <c r="M12" s="286" t="s">
        <v>499</v>
      </c>
      <c r="P12" s="287"/>
      <c r="R12" s="286" t="s">
        <v>235</v>
      </c>
      <c r="S12" s="285">
        <v>0</v>
      </c>
      <c r="U12" s="287"/>
      <c r="W12" s="286" t="s">
        <v>235</v>
      </c>
      <c r="Z12" s="287"/>
      <c r="AB12" s="286" t="s">
        <v>235</v>
      </c>
      <c r="AE12" s="287"/>
      <c r="AG12" s="286" t="s">
        <v>235</v>
      </c>
      <c r="AJ12" s="287"/>
      <c r="AL12" s="286" t="s">
        <v>235</v>
      </c>
      <c r="AO12" s="287"/>
      <c r="AQ12" s="286" t="s">
        <v>235</v>
      </c>
      <c r="AT12" s="287"/>
      <c r="AV12" s="286" t="s">
        <v>235</v>
      </c>
      <c r="AY12" s="287"/>
      <c r="BA12" s="286" t="s">
        <v>235</v>
      </c>
      <c r="BD12" s="287"/>
      <c r="BF12" s="286" t="s">
        <v>1764</v>
      </c>
      <c r="BG12" s="285">
        <v>16</v>
      </c>
      <c r="BI12" s="287"/>
    </row>
    <row r="13" spans="3:61">
      <c r="C13" s="286"/>
      <c r="F13" s="287"/>
      <c r="H13" s="286"/>
      <c r="K13" s="287"/>
      <c r="M13" s="286" t="s">
        <v>235</v>
      </c>
      <c r="N13" s="285">
        <v>1</v>
      </c>
      <c r="P13" s="287"/>
      <c r="R13" s="286" t="s">
        <v>711</v>
      </c>
      <c r="S13" s="285">
        <v>33</v>
      </c>
      <c r="U13" s="287"/>
      <c r="W13" s="286"/>
      <c r="Z13" s="287"/>
      <c r="AB13" s="286"/>
      <c r="AE13" s="287"/>
      <c r="AG13" s="286"/>
      <c r="AJ13" s="287"/>
      <c r="AL13" s="286"/>
      <c r="AO13" s="287"/>
      <c r="AQ13" s="286"/>
      <c r="AT13" s="287"/>
      <c r="AV13" s="286"/>
      <c r="AY13" s="287"/>
      <c r="BA13" s="286"/>
      <c r="BD13" s="287"/>
      <c r="BF13" s="286"/>
      <c r="BI13" s="287"/>
    </row>
    <row r="14" spans="3:61">
      <c r="C14" s="286"/>
      <c r="F14" s="287"/>
      <c r="H14" s="286"/>
      <c r="K14" s="287"/>
      <c r="M14" s="286" t="s">
        <v>194</v>
      </c>
      <c r="N14" s="285">
        <v>200</v>
      </c>
      <c r="P14" s="287"/>
      <c r="R14" s="286" t="s">
        <v>710</v>
      </c>
      <c r="S14" s="285">
        <v>180</v>
      </c>
      <c r="U14" s="287"/>
      <c r="W14" s="286"/>
      <c r="Z14" s="287"/>
      <c r="AB14" s="286"/>
      <c r="AE14" s="287"/>
      <c r="AG14" s="286"/>
      <c r="AJ14" s="287"/>
      <c r="AL14" s="286"/>
      <c r="AO14" s="287"/>
      <c r="AQ14" s="286"/>
      <c r="AT14" s="287"/>
      <c r="AV14" s="286"/>
      <c r="AY14" s="287"/>
      <c r="BA14" s="286"/>
      <c r="BD14" s="287"/>
      <c r="BF14" s="286"/>
      <c r="BI14" s="287"/>
    </row>
    <row r="15" spans="3:61">
      <c r="C15" s="286"/>
      <c r="F15" s="287"/>
      <c r="H15" s="286"/>
      <c r="K15" s="287"/>
      <c r="M15" s="286" t="s">
        <v>640</v>
      </c>
      <c r="N15" s="285">
        <v>212</v>
      </c>
      <c r="P15" s="287"/>
      <c r="R15" s="286" t="s">
        <v>712</v>
      </c>
      <c r="S15" s="285">
        <v>200</v>
      </c>
      <c r="U15" s="287"/>
      <c r="W15" s="286"/>
      <c r="Z15" s="287"/>
      <c r="AB15" s="286"/>
      <c r="AE15" s="287"/>
      <c r="AG15" s="286"/>
      <c r="AJ15" s="287"/>
      <c r="AL15" s="286"/>
      <c r="AO15" s="287"/>
      <c r="AQ15" s="286"/>
      <c r="AT15" s="287"/>
      <c r="AV15" s="286"/>
      <c r="AY15" s="287"/>
      <c r="BA15" s="286"/>
      <c r="BD15" s="287"/>
      <c r="BF15" s="286"/>
      <c r="BI15" s="287"/>
    </row>
    <row r="16" spans="3:61">
      <c r="C16" s="286"/>
      <c r="F16" s="287"/>
      <c r="H16" s="286"/>
      <c r="K16" s="287"/>
      <c r="M16" s="286"/>
      <c r="P16" s="287"/>
      <c r="U16" s="287"/>
      <c r="W16" s="286"/>
      <c r="Z16" s="287"/>
      <c r="AB16" s="286"/>
      <c r="AE16" s="287"/>
      <c r="AG16" s="286"/>
      <c r="AJ16" s="287"/>
      <c r="AL16" s="286"/>
      <c r="AO16" s="287"/>
      <c r="AQ16" s="286"/>
      <c r="AT16" s="287"/>
      <c r="AV16" s="286"/>
      <c r="AY16" s="287"/>
      <c r="BA16" s="286"/>
      <c r="BD16" s="287"/>
      <c r="BF16" s="286"/>
      <c r="BI16" s="287"/>
    </row>
    <row r="17" spans="3:63">
      <c r="C17" s="289" t="s">
        <v>34</v>
      </c>
      <c r="D17" s="290">
        <v>2234</v>
      </c>
      <c r="E17" s="290">
        <v>1625</v>
      </c>
      <c r="H17" s="289" t="s">
        <v>34</v>
      </c>
      <c r="I17" s="290">
        <v>2326</v>
      </c>
      <c r="J17" s="290">
        <v>21</v>
      </c>
      <c r="M17" s="289" t="s">
        <v>34</v>
      </c>
      <c r="N17" s="290">
        <v>3050</v>
      </c>
      <c r="O17" s="290">
        <v>3354</v>
      </c>
      <c r="R17" s="289" t="s">
        <v>34</v>
      </c>
      <c r="S17" s="290">
        <v>2655</v>
      </c>
      <c r="T17" s="290">
        <v>808</v>
      </c>
      <c r="W17" s="289" t="s">
        <v>34</v>
      </c>
      <c r="X17" s="290">
        <v>2412</v>
      </c>
      <c r="Y17" s="290">
        <v>404</v>
      </c>
      <c r="AB17" s="289" t="s">
        <v>34</v>
      </c>
      <c r="AC17" s="290">
        <v>2426</v>
      </c>
      <c r="AD17" s="290">
        <v>895</v>
      </c>
      <c r="AG17" s="289" t="s">
        <v>34</v>
      </c>
      <c r="AH17" s="290">
        <v>1927</v>
      </c>
      <c r="AI17" s="285">
        <v>1634</v>
      </c>
      <c r="AL17" s="289" t="s">
        <v>34</v>
      </c>
      <c r="AM17" s="290">
        <v>2050</v>
      </c>
      <c r="AN17" s="285">
        <v>330</v>
      </c>
      <c r="AQ17" s="289" t="s">
        <v>34</v>
      </c>
      <c r="AR17" s="290">
        <v>2056</v>
      </c>
      <c r="AS17" s="285">
        <v>3406</v>
      </c>
      <c r="AT17" s="329"/>
      <c r="AV17" s="289" t="s">
        <v>34</v>
      </c>
      <c r="AW17" s="290">
        <v>2093</v>
      </c>
      <c r="AX17" s="285">
        <v>939</v>
      </c>
      <c r="AY17" s="329"/>
      <c r="BA17" s="289" t="s">
        <v>34</v>
      </c>
      <c r="BB17" s="290">
        <v>2723</v>
      </c>
      <c r="BC17" s="290">
        <v>1690</v>
      </c>
      <c r="BD17" s="329"/>
      <c r="BF17" s="289" t="s">
        <v>34</v>
      </c>
      <c r="BG17" s="290">
        <v>2839</v>
      </c>
      <c r="BH17" s="290">
        <v>441</v>
      </c>
      <c r="BI17" s="329"/>
    </row>
    <row r="18" spans="3:63">
      <c r="F18" s="327">
        <v>3859</v>
      </c>
      <c r="K18" s="327">
        <v>2347</v>
      </c>
      <c r="P18" s="327">
        <v>6404</v>
      </c>
      <c r="U18" s="327">
        <v>3463</v>
      </c>
      <c r="Z18" s="327">
        <v>2816</v>
      </c>
      <c r="AE18" s="327">
        <v>3321</v>
      </c>
      <c r="AJ18" s="327">
        <v>3561</v>
      </c>
      <c r="AO18" s="327">
        <v>2380</v>
      </c>
      <c r="AT18" s="328">
        <v>5462</v>
      </c>
      <c r="AY18" s="354">
        <v>3032</v>
      </c>
      <c r="BD18" s="354">
        <v>4413</v>
      </c>
      <c r="BI18" s="354">
        <v>3280</v>
      </c>
      <c r="BK18" s="379">
        <v>44338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52946-2313-654A-82E3-D7B80F62E75A}">
  <dimension ref="B6:AN19"/>
  <sheetViews>
    <sheetView topLeftCell="AJ1" workbookViewId="0">
      <selection activeCell="AK33" sqref="AK33"/>
    </sheetView>
  </sheetViews>
  <sheetFormatPr baseColWidth="10" defaultRowHeight="15"/>
  <cols>
    <col min="2" max="2" width="13.5" bestFit="1" customWidth="1"/>
    <col min="3" max="3" width="15" customWidth="1"/>
    <col min="4" max="4" width="12" customWidth="1"/>
    <col min="5" max="5" width="18" bestFit="1" customWidth="1"/>
    <col min="7" max="7" width="13.5" bestFit="1" customWidth="1"/>
    <col min="10" max="10" width="18" bestFit="1" customWidth="1"/>
    <col min="12" max="12" width="22" customWidth="1"/>
    <col min="15" max="15" width="18" bestFit="1" customWidth="1"/>
    <col min="17" max="17" width="18" bestFit="1" customWidth="1"/>
    <col min="20" max="20" width="18" bestFit="1" customWidth="1"/>
    <col min="22" max="22" width="13.5" bestFit="1" customWidth="1"/>
    <col min="23" max="23" width="18.6640625" customWidth="1"/>
    <col min="25" max="25" width="16.83203125" customWidth="1"/>
    <col min="27" max="27" width="16.6640625" customWidth="1"/>
    <col min="28" max="28" width="14.6640625" customWidth="1"/>
    <col min="29" max="29" width="13.1640625" customWidth="1"/>
    <col min="30" max="30" width="21" customWidth="1"/>
    <col min="32" max="32" width="22.33203125" customWidth="1"/>
    <col min="35" max="35" width="18.6640625" bestFit="1" customWidth="1"/>
    <col min="37" max="37" width="21.6640625" customWidth="1"/>
    <col min="39" max="39" width="17.1640625" customWidth="1"/>
    <col min="40" max="40" width="25.1640625" customWidth="1"/>
  </cols>
  <sheetData>
    <row r="6" spans="2:40" ht="21">
      <c r="B6" s="370" t="s">
        <v>35</v>
      </c>
      <c r="C6" s="282" t="s">
        <v>46</v>
      </c>
      <c r="D6" s="283" t="s">
        <v>141</v>
      </c>
      <c r="E6" s="371"/>
      <c r="G6" s="370" t="s">
        <v>36</v>
      </c>
      <c r="H6" s="282" t="s">
        <v>46</v>
      </c>
      <c r="I6" s="283" t="s">
        <v>141</v>
      </c>
      <c r="J6" s="371"/>
      <c r="L6" s="370" t="s">
        <v>37</v>
      </c>
      <c r="M6" s="282" t="s">
        <v>46</v>
      </c>
      <c r="N6" s="283" t="s">
        <v>141</v>
      </c>
      <c r="O6" s="371"/>
      <c r="Q6" s="370" t="s">
        <v>0</v>
      </c>
      <c r="R6" s="282" t="s">
        <v>46</v>
      </c>
      <c r="S6" s="283" t="s">
        <v>141</v>
      </c>
      <c r="T6" s="371"/>
      <c r="V6" s="370" t="s">
        <v>2</v>
      </c>
      <c r="W6" s="282" t="s">
        <v>46</v>
      </c>
      <c r="X6" s="283" t="s">
        <v>141</v>
      </c>
      <c r="Y6" s="371"/>
      <c r="AA6" s="370" t="s">
        <v>3</v>
      </c>
      <c r="AB6" s="282" t="s">
        <v>46</v>
      </c>
      <c r="AC6" s="283" t="s">
        <v>141</v>
      </c>
      <c r="AD6" s="371"/>
      <c r="AF6" s="370" t="s">
        <v>4</v>
      </c>
      <c r="AG6" s="282" t="s">
        <v>46</v>
      </c>
      <c r="AH6" s="283" t="s">
        <v>141</v>
      </c>
      <c r="AI6" s="371"/>
      <c r="AK6" s="370" t="s">
        <v>5</v>
      </c>
      <c r="AL6" s="282" t="s">
        <v>46</v>
      </c>
      <c r="AM6" s="283" t="s">
        <v>141</v>
      </c>
      <c r="AN6" s="371"/>
    </row>
    <row r="7" spans="2:40" ht="21">
      <c r="B7" s="286" t="s">
        <v>191</v>
      </c>
      <c r="C7" s="285">
        <v>1826</v>
      </c>
      <c r="D7" s="285">
        <v>17</v>
      </c>
      <c r="E7" s="287" t="s">
        <v>370</v>
      </c>
      <c r="G7" s="286" t="s">
        <v>191</v>
      </c>
      <c r="H7" s="285">
        <v>1928</v>
      </c>
      <c r="I7" s="285">
        <v>0</v>
      </c>
      <c r="J7" s="287" t="s">
        <v>370</v>
      </c>
      <c r="L7" s="286" t="s">
        <v>191</v>
      </c>
      <c r="M7" s="285">
        <v>2137</v>
      </c>
      <c r="N7" s="285">
        <v>113</v>
      </c>
      <c r="O7" s="287" t="s">
        <v>370</v>
      </c>
      <c r="Q7" s="286" t="s">
        <v>191</v>
      </c>
      <c r="R7" s="285">
        <v>2137</v>
      </c>
      <c r="S7" s="285">
        <v>343</v>
      </c>
      <c r="T7" s="287" t="s">
        <v>370</v>
      </c>
      <c r="V7" s="286" t="s">
        <v>191</v>
      </c>
      <c r="W7" s="285">
        <v>2135</v>
      </c>
      <c r="X7" s="285">
        <v>100</v>
      </c>
      <c r="Y7" s="287" t="s">
        <v>1772</v>
      </c>
      <c r="AA7" s="286" t="s">
        <v>191</v>
      </c>
      <c r="AB7" s="285">
        <v>2146</v>
      </c>
      <c r="AC7" s="285"/>
      <c r="AD7" s="287" t="s">
        <v>1772</v>
      </c>
      <c r="AF7" s="286" t="s">
        <v>191</v>
      </c>
      <c r="AG7" s="285">
        <v>2203</v>
      </c>
      <c r="AH7" s="285">
        <v>200</v>
      </c>
      <c r="AI7" s="287" t="s">
        <v>1772</v>
      </c>
      <c r="AK7" s="286" t="s">
        <v>191</v>
      </c>
      <c r="AL7" s="285">
        <v>2157</v>
      </c>
      <c r="AM7" s="285"/>
      <c r="AN7" s="287" t="s">
        <v>1772</v>
      </c>
    </row>
    <row r="8" spans="2:40" ht="21">
      <c r="B8" s="286" t="s">
        <v>108</v>
      </c>
      <c r="C8" s="285">
        <v>83</v>
      </c>
      <c r="D8" s="285">
        <v>500</v>
      </c>
      <c r="E8" s="287" t="s">
        <v>401</v>
      </c>
      <c r="G8" s="286" t="s">
        <v>108</v>
      </c>
      <c r="H8" s="285">
        <v>114</v>
      </c>
      <c r="I8" s="285"/>
      <c r="J8" s="287"/>
      <c r="L8" s="286" t="s">
        <v>108</v>
      </c>
      <c r="M8" s="285">
        <v>127</v>
      </c>
      <c r="N8" s="285">
        <v>500</v>
      </c>
      <c r="O8" s="287" t="s">
        <v>272</v>
      </c>
      <c r="Q8" s="286" t="s">
        <v>108</v>
      </c>
      <c r="R8" s="285">
        <v>107</v>
      </c>
      <c r="S8" s="285">
        <v>1000</v>
      </c>
      <c r="T8" s="287" t="s">
        <v>401</v>
      </c>
      <c r="V8" s="286" t="s">
        <v>108</v>
      </c>
      <c r="W8" s="285">
        <v>104</v>
      </c>
      <c r="X8" s="285">
        <v>0</v>
      </c>
      <c r="Y8" s="287" t="s">
        <v>401</v>
      </c>
      <c r="AA8" s="286" t="s">
        <v>108</v>
      </c>
      <c r="AB8" s="285">
        <v>88</v>
      </c>
      <c r="AC8" s="285">
        <v>1000</v>
      </c>
      <c r="AD8" s="287" t="s">
        <v>401</v>
      </c>
      <c r="AF8" s="286" t="s">
        <v>108</v>
      </c>
      <c r="AG8" s="285">
        <v>116</v>
      </c>
      <c r="AH8" s="285"/>
      <c r="AI8" s="287" t="s">
        <v>401</v>
      </c>
      <c r="AK8" s="286" t="s">
        <v>108</v>
      </c>
      <c r="AL8" s="285">
        <v>147</v>
      </c>
      <c r="AM8" s="285"/>
      <c r="AN8" s="287" t="s">
        <v>401</v>
      </c>
    </row>
    <row r="9" spans="2:40" ht="21">
      <c r="B9" s="286" t="s">
        <v>155</v>
      </c>
      <c r="C9" s="285">
        <v>7</v>
      </c>
      <c r="D9" s="285"/>
      <c r="E9" s="287"/>
      <c r="G9" s="286" t="s">
        <v>155</v>
      </c>
      <c r="H9" s="285">
        <v>202</v>
      </c>
      <c r="I9" s="285"/>
      <c r="J9" s="287"/>
      <c r="L9" s="286" t="s">
        <v>155</v>
      </c>
      <c r="M9" s="285">
        <v>183</v>
      </c>
      <c r="N9" s="285"/>
      <c r="O9" s="287"/>
      <c r="Q9" s="286" t="s">
        <v>155</v>
      </c>
      <c r="R9" s="285"/>
      <c r="S9" s="285">
        <v>80</v>
      </c>
      <c r="T9" s="287" t="s">
        <v>370</v>
      </c>
      <c r="V9" s="286" t="s">
        <v>155</v>
      </c>
      <c r="W9" s="285">
        <v>0</v>
      </c>
      <c r="X9" s="285">
        <v>324</v>
      </c>
      <c r="Y9" s="287" t="s">
        <v>370</v>
      </c>
      <c r="AA9" s="286" t="s">
        <v>155</v>
      </c>
      <c r="AB9" s="285"/>
      <c r="AC9" s="285">
        <v>143</v>
      </c>
      <c r="AD9" s="287" t="s">
        <v>370</v>
      </c>
      <c r="AF9" s="286" t="s">
        <v>155</v>
      </c>
      <c r="AG9" s="285">
        <v>18</v>
      </c>
      <c r="AH9" s="285">
        <v>36</v>
      </c>
      <c r="AI9" s="287" t="s">
        <v>370</v>
      </c>
      <c r="AK9" s="286" t="s">
        <v>155</v>
      </c>
      <c r="AL9" s="285">
        <v>132</v>
      </c>
      <c r="AM9" s="285">
        <v>830</v>
      </c>
      <c r="AN9" s="287" t="s">
        <v>370</v>
      </c>
    </row>
    <row r="10" spans="2:40" ht="21">
      <c r="B10" s="286" t="s">
        <v>248</v>
      </c>
      <c r="C10" s="285"/>
      <c r="D10" s="285"/>
      <c r="E10" s="285"/>
      <c r="G10" s="286" t="s">
        <v>248</v>
      </c>
      <c r="H10" s="285">
        <v>1162</v>
      </c>
      <c r="I10" s="285"/>
      <c r="J10" s="285"/>
      <c r="L10" s="286" t="s">
        <v>248</v>
      </c>
      <c r="M10" s="285">
        <v>118</v>
      </c>
      <c r="N10" s="285"/>
      <c r="O10" s="285"/>
      <c r="Q10" s="286" t="s">
        <v>248</v>
      </c>
      <c r="R10" s="285">
        <v>159</v>
      </c>
      <c r="S10" s="285"/>
      <c r="T10" s="285"/>
      <c r="V10" s="286" t="s">
        <v>248</v>
      </c>
      <c r="W10" s="285">
        <v>122</v>
      </c>
      <c r="X10" s="285"/>
      <c r="Y10" s="285"/>
      <c r="AA10" s="286" t="s">
        <v>248</v>
      </c>
      <c r="AB10" s="285">
        <v>500</v>
      </c>
      <c r="AC10" s="285">
        <v>364</v>
      </c>
      <c r="AD10" s="285" t="s">
        <v>1871</v>
      </c>
      <c r="AF10" s="286" t="s">
        <v>248</v>
      </c>
      <c r="AG10" s="285">
        <v>0</v>
      </c>
      <c r="AH10" s="285">
        <v>1220</v>
      </c>
      <c r="AI10" s="285" t="s">
        <v>1871</v>
      </c>
      <c r="AK10" s="286" t="s">
        <v>248</v>
      </c>
      <c r="AL10" s="285">
        <v>0</v>
      </c>
      <c r="AM10" s="285">
        <v>850</v>
      </c>
      <c r="AN10" s="285" t="s">
        <v>1871</v>
      </c>
    </row>
    <row r="11" spans="2:40" ht="21">
      <c r="B11" s="286" t="s">
        <v>395</v>
      </c>
      <c r="C11" s="285">
        <v>156</v>
      </c>
      <c r="D11" s="285"/>
      <c r="E11" s="287"/>
      <c r="G11" s="286" t="s">
        <v>395</v>
      </c>
      <c r="H11" s="285">
        <v>374</v>
      </c>
      <c r="I11" s="285"/>
      <c r="J11" s="287"/>
      <c r="L11" s="286" t="s">
        <v>395</v>
      </c>
      <c r="M11" s="285">
        <v>162</v>
      </c>
      <c r="N11" s="285"/>
      <c r="O11" s="287"/>
      <c r="Q11" s="286" t="s">
        <v>395</v>
      </c>
      <c r="R11" s="285">
        <v>263</v>
      </c>
      <c r="S11" s="285"/>
      <c r="T11" s="287"/>
      <c r="V11" s="286" t="s">
        <v>395</v>
      </c>
      <c r="W11" s="285">
        <v>180</v>
      </c>
      <c r="X11" s="285"/>
      <c r="Y11" s="287"/>
      <c r="AA11" s="286" t="s">
        <v>395</v>
      </c>
      <c r="AB11" s="285"/>
      <c r="AC11" s="285"/>
      <c r="AD11" s="287"/>
      <c r="AF11" s="286" t="s">
        <v>395</v>
      </c>
      <c r="AG11" s="285">
        <v>180</v>
      </c>
      <c r="AH11" s="285"/>
      <c r="AI11" s="287"/>
      <c r="AK11" s="286" t="s">
        <v>395</v>
      </c>
      <c r="AL11" s="285">
        <v>346</v>
      </c>
      <c r="AM11" s="285"/>
      <c r="AN11" s="287"/>
    </row>
    <row r="12" spans="2:40" ht="21">
      <c r="B12" s="286" t="s">
        <v>234</v>
      </c>
      <c r="C12" s="285">
        <v>174</v>
      </c>
      <c r="D12" s="285"/>
      <c r="E12" s="287"/>
      <c r="G12" s="286" t="s">
        <v>234</v>
      </c>
      <c r="H12" s="285">
        <v>104</v>
      </c>
      <c r="I12" s="285"/>
      <c r="J12" s="287"/>
      <c r="L12" s="286" t="s">
        <v>234</v>
      </c>
      <c r="M12" s="285">
        <v>70.48</v>
      </c>
      <c r="N12" s="285"/>
      <c r="O12" s="287"/>
      <c r="Q12" s="286" t="s">
        <v>234</v>
      </c>
      <c r="R12" s="285">
        <v>110</v>
      </c>
      <c r="S12" s="285"/>
      <c r="T12" s="287"/>
      <c r="V12" s="286" t="s">
        <v>234</v>
      </c>
      <c r="W12" s="285">
        <v>101</v>
      </c>
      <c r="X12" s="285"/>
      <c r="Y12" s="287"/>
      <c r="AA12" s="286" t="s">
        <v>234</v>
      </c>
      <c r="AB12" s="285">
        <v>91</v>
      </c>
      <c r="AC12" s="285"/>
      <c r="AD12" s="287"/>
      <c r="AF12" s="286" t="s">
        <v>234</v>
      </c>
      <c r="AG12" s="285">
        <v>63</v>
      </c>
      <c r="AH12" s="285"/>
      <c r="AI12" s="287"/>
      <c r="AK12" s="286" t="s">
        <v>234</v>
      </c>
      <c r="AL12" s="285">
        <v>105</v>
      </c>
      <c r="AM12" s="285"/>
      <c r="AN12" s="287"/>
    </row>
    <row r="13" spans="2:40" ht="21">
      <c r="B13" s="286" t="s">
        <v>1765</v>
      </c>
      <c r="C13" s="285">
        <v>20</v>
      </c>
      <c r="D13" s="285"/>
      <c r="E13" s="287"/>
      <c r="G13" s="286" t="s">
        <v>1764</v>
      </c>
      <c r="H13" s="285"/>
      <c r="I13" s="285"/>
      <c r="J13" s="287"/>
      <c r="L13" s="286" t="s">
        <v>1765</v>
      </c>
      <c r="M13" s="285">
        <v>150</v>
      </c>
      <c r="N13" s="285"/>
      <c r="O13" s="287"/>
      <c r="Q13" s="286" t="s">
        <v>1769</v>
      </c>
      <c r="R13" s="285">
        <v>36</v>
      </c>
      <c r="S13" s="285"/>
      <c r="T13" s="287"/>
      <c r="V13" s="286"/>
      <c r="W13" s="285"/>
      <c r="X13" s="285"/>
      <c r="Y13" s="287"/>
      <c r="AA13" s="286" t="s">
        <v>1868</v>
      </c>
      <c r="AB13" s="285">
        <v>1768</v>
      </c>
      <c r="AC13" s="285"/>
      <c r="AD13" s="287"/>
      <c r="AF13" s="286" t="s">
        <v>1893</v>
      </c>
      <c r="AG13" s="285">
        <v>98</v>
      </c>
      <c r="AH13" s="285"/>
      <c r="AI13" s="287"/>
      <c r="AK13" s="286" t="s">
        <v>1893</v>
      </c>
      <c r="AL13" s="285"/>
      <c r="AM13" s="285"/>
      <c r="AN13" s="287"/>
    </row>
    <row r="14" spans="2:40" ht="21">
      <c r="B14" s="286"/>
      <c r="C14" s="285"/>
      <c r="D14" s="285"/>
      <c r="E14" s="287"/>
      <c r="G14" s="286" t="s">
        <v>1766</v>
      </c>
      <c r="H14" s="285">
        <v>2000</v>
      </c>
      <c r="I14" s="285"/>
      <c r="J14" s="287"/>
      <c r="L14" s="286" t="s">
        <v>272</v>
      </c>
      <c r="M14" s="285">
        <v>400</v>
      </c>
      <c r="N14" s="285"/>
      <c r="O14" s="287"/>
      <c r="Q14" s="286"/>
      <c r="R14" s="285"/>
      <c r="S14" s="285"/>
      <c r="T14" s="287"/>
      <c r="V14" s="286"/>
      <c r="W14" s="285"/>
      <c r="X14" s="285"/>
      <c r="Y14" s="287"/>
      <c r="AA14" s="286" t="s">
        <v>1869</v>
      </c>
      <c r="AB14" s="285">
        <v>1220</v>
      </c>
      <c r="AC14" s="285"/>
      <c r="AD14" s="287"/>
      <c r="AF14" s="286"/>
      <c r="AG14" s="285"/>
      <c r="AH14" s="285"/>
      <c r="AI14" s="287"/>
      <c r="AK14" s="286" t="s">
        <v>17</v>
      </c>
      <c r="AL14" s="285">
        <v>12</v>
      </c>
      <c r="AM14" s="285"/>
      <c r="AN14" s="287"/>
    </row>
    <row r="15" spans="2:40" ht="21">
      <c r="B15" s="286"/>
      <c r="C15" s="285"/>
      <c r="D15" s="285"/>
      <c r="E15" s="287"/>
      <c r="G15" s="286"/>
      <c r="H15" s="285"/>
      <c r="I15" s="285"/>
      <c r="J15" s="287"/>
      <c r="L15" s="286" t="s">
        <v>1766</v>
      </c>
      <c r="M15" s="285">
        <v>5000</v>
      </c>
      <c r="N15" s="285"/>
      <c r="O15" s="287"/>
      <c r="Q15" s="286"/>
      <c r="R15" s="285"/>
      <c r="S15" s="285"/>
      <c r="T15" s="287"/>
      <c r="V15" s="286"/>
      <c r="W15" s="285"/>
      <c r="X15" s="285"/>
      <c r="Y15" s="287"/>
      <c r="AA15" s="286" t="s">
        <v>1766</v>
      </c>
      <c r="AB15" s="285">
        <v>3000</v>
      </c>
      <c r="AC15" s="285"/>
      <c r="AD15" s="287"/>
      <c r="AF15" s="286"/>
      <c r="AG15" s="285"/>
      <c r="AH15" s="285"/>
      <c r="AI15" s="287"/>
      <c r="AK15" s="286"/>
      <c r="AL15" s="285"/>
      <c r="AM15" s="285"/>
      <c r="AN15" s="287"/>
    </row>
    <row r="16" spans="2:40" ht="21">
      <c r="B16" s="286"/>
      <c r="C16" s="285"/>
      <c r="D16" s="285"/>
      <c r="E16" s="287"/>
      <c r="G16" s="286"/>
      <c r="H16" s="285"/>
      <c r="I16" s="285"/>
      <c r="J16" s="287"/>
      <c r="L16" s="286"/>
      <c r="M16" s="285"/>
      <c r="N16" s="285"/>
      <c r="O16" s="287"/>
      <c r="Q16" s="286"/>
      <c r="R16" s="285"/>
      <c r="S16" s="285"/>
      <c r="T16" s="287"/>
      <c r="V16" s="286"/>
      <c r="W16" s="285"/>
      <c r="X16" s="285"/>
      <c r="Y16" s="287"/>
      <c r="AA16" s="286"/>
      <c r="AB16" s="285"/>
      <c r="AC16" s="285"/>
      <c r="AD16" s="287"/>
      <c r="AH16" s="285"/>
      <c r="AI16" s="287"/>
      <c r="AM16" s="285"/>
      <c r="AN16" s="287"/>
    </row>
    <row r="17" spans="2:40" ht="21">
      <c r="B17" s="286"/>
      <c r="C17" s="285"/>
      <c r="D17" s="285"/>
      <c r="E17" s="287"/>
      <c r="G17" s="286"/>
      <c r="H17" s="285"/>
      <c r="I17" s="285"/>
      <c r="J17" s="287"/>
      <c r="L17" s="286"/>
      <c r="M17" s="285"/>
      <c r="N17" s="285"/>
      <c r="O17" s="287"/>
      <c r="Q17" s="286"/>
      <c r="R17" s="285"/>
      <c r="S17" s="285"/>
      <c r="T17" s="287"/>
      <c r="V17" s="286"/>
      <c r="W17" s="285"/>
      <c r="X17" s="285"/>
      <c r="Y17" s="287"/>
      <c r="AA17" s="286"/>
      <c r="AB17" s="285"/>
      <c r="AC17" s="285"/>
      <c r="AD17" s="287"/>
      <c r="AF17" s="286"/>
      <c r="AG17" s="285"/>
      <c r="AH17" s="285"/>
      <c r="AI17" s="287"/>
      <c r="AK17" s="286"/>
      <c r="AL17" s="285"/>
      <c r="AN17" s="287"/>
    </row>
    <row r="18" spans="2:40" ht="21">
      <c r="B18" s="289" t="s">
        <v>34</v>
      </c>
      <c r="C18" s="290">
        <v>2266</v>
      </c>
      <c r="D18" s="290">
        <v>517</v>
      </c>
      <c r="E18" s="329"/>
      <c r="G18" s="289" t="s">
        <v>34</v>
      </c>
      <c r="H18" s="290">
        <v>5884</v>
      </c>
      <c r="I18" s="290"/>
      <c r="J18" s="329"/>
      <c r="L18" s="289" t="s">
        <v>34</v>
      </c>
      <c r="M18" s="290">
        <v>8347</v>
      </c>
      <c r="N18" s="290">
        <v>613</v>
      </c>
      <c r="O18" s="329"/>
      <c r="Q18" s="289" t="s">
        <v>34</v>
      </c>
      <c r="R18" s="290">
        <v>2812</v>
      </c>
      <c r="S18" s="290">
        <v>1423</v>
      </c>
      <c r="T18" s="329"/>
      <c r="V18" s="289" t="s">
        <v>34</v>
      </c>
      <c r="W18" s="290">
        <v>2642</v>
      </c>
      <c r="X18" s="290">
        <v>424</v>
      </c>
      <c r="Y18" s="329"/>
      <c r="AA18" s="289" t="s">
        <v>34</v>
      </c>
      <c r="AB18" s="290">
        <v>8813</v>
      </c>
      <c r="AC18" s="290">
        <v>1507</v>
      </c>
      <c r="AD18" s="329"/>
      <c r="AF18" s="289" t="s">
        <v>34</v>
      </c>
      <c r="AG18" s="290">
        <v>2678</v>
      </c>
      <c r="AH18" s="290">
        <v>1456</v>
      </c>
      <c r="AK18" s="289" t="s">
        <v>34</v>
      </c>
      <c r="AL18" s="290">
        <v>2899</v>
      </c>
      <c r="AM18" s="285">
        <v>1680</v>
      </c>
    </row>
    <row r="19" spans="2:40" ht="21">
      <c r="B19" s="285"/>
      <c r="C19" s="285"/>
      <c r="D19" s="285"/>
      <c r="E19" s="354">
        <v>2783</v>
      </c>
      <c r="G19" s="285"/>
      <c r="H19" s="285"/>
      <c r="I19" s="285"/>
      <c r="J19" s="380">
        <v>5884</v>
      </c>
      <c r="L19" s="285"/>
      <c r="M19" s="285"/>
      <c r="N19" s="285"/>
      <c r="O19" s="354">
        <v>8960</v>
      </c>
      <c r="Q19" s="285"/>
      <c r="R19" s="285"/>
      <c r="S19" s="285"/>
      <c r="T19" s="354">
        <v>4235</v>
      </c>
      <c r="V19" s="285"/>
      <c r="W19" s="285"/>
      <c r="X19" s="285"/>
      <c r="Y19" s="354">
        <v>3066</v>
      </c>
      <c r="AA19" s="285"/>
      <c r="AB19" s="285"/>
      <c r="AC19" s="285"/>
      <c r="AD19" s="354">
        <v>10320</v>
      </c>
      <c r="AF19" s="285"/>
      <c r="AG19" s="285"/>
      <c r="AH19" s="285"/>
      <c r="AI19" s="327">
        <v>4134</v>
      </c>
      <c r="AK19" s="285"/>
      <c r="AL19" s="285"/>
      <c r="AM19" s="285"/>
      <c r="AN19" s="327">
        <v>4579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95EF-7269-8E4A-8BF3-1DD8649A45B2}">
  <dimension ref="D5:M50"/>
  <sheetViews>
    <sheetView topLeftCell="A26" workbookViewId="0">
      <selection activeCell="F52" sqref="F52"/>
    </sheetView>
  </sheetViews>
  <sheetFormatPr baseColWidth="10" defaultRowHeight="15"/>
  <cols>
    <col min="4" max="4" width="27.1640625" bestFit="1" customWidth="1"/>
    <col min="5" max="5" width="21.6640625" bestFit="1" customWidth="1"/>
    <col min="6" max="6" width="15" bestFit="1" customWidth="1"/>
    <col min="7" max="7" width="12.5" bestFit="1" customWidth="1"/>
    <col min="8" max="8" width="21" customWidth="1"/>
    <col min="9" max="9" width="28" customWidth="1"/>
    <col min="12" max="12" width="17.5" customWidth="1"/>
  </cols>
  <sheetData>
    <row r="5" spans="4:13" ht="16">
      <c r="D5" s="191" t="s">
        <v>1784</v>
      </c>
      <c r="E5" s="192"/>
      <c r="F5" s="193"/>
      <c r="G5" s="186"/>
      <c r="H5" s="186"/>
      <c r="I5" s="186"/>
      <c r="J5" s="186"/>
    </row>
    <row r="6" spans="4:13" ht="16">
      <c r="D6" s="452" t="s">
        <v>1785</v>
      </c>
      <c r="E6" s="452" t="s">
        <v>1786</v>
      </c>
      <c r="F6" s="452" t="s">
        <v>1859</v>
      </c>
      <c r="G6" s="452" t="s">
        <v>1787</v>
      </c>
      <c r="H6" s="452" t="s">
        <v>538</v>
      </c>
      <c r="I6" s="452" t="s">
        <v>1790</v>
      </c>
      <c r="J6" s="452" t="s">
        <v>1788</v>
      </c>
      <c r="K6" s="452" t="s">
        <v>1792</v>
      </c>
      <c r="L6" s="482" t="s">
        <v>1932</v>
      </c>
      <c r="M6" s="482" t="s">
        <v>1940</v>
      </c>
    </row>
    <row r="7" spans="4:13" ht="16">
      <c r="D7" s="453" t="s">
        <v>329</v>
      </c>
      <c r="E7" s="455" t="s">
        <v>338</v>
      </c>
      <c r="F7" s="457" t="s">
        <v>422</v>
      </c>
      <c r="G7" s="455" t="s">
        <v>415</v>
      </c>
      <c r="H7" s="453" t="s">
        <v>341</v>
      </c>
      <c r="I7" s="455" t="s">
        <v>357</v>
      </c>
      <c r="J7" s="455" t="s">
        <v>339</v>
      </c>
      <c r="K7" s="453" t="s">
        <v>412</v>
      </c>
      <c r="L7" s="464" t="s">
        <v>1933</v>
      </c>
      <c r="M7" s="464" t="s">
        <v>1941</v>
      </c>
    </row>
    <row r="8" spans="4:13" ht="16">
      <c r="D8" s="455" t="s">
        <v>340</v>
      </c>
      <c r="E8" s="457" t="s">
        <v>469</v>
      </c>
      <c r="F8" s="455" t="s">
        <v>419</v>
      </c>
      <c r="G8" s="455" t="s">
        <v>413</v>
      </c>
      <c r="H8" s="453" t="s">
        <v>421</v>
      </c>
      <c r="I8" s="455" t="s">
        <v>423</v>
      </c>
      <c r="J8" s="455" t="s">
        <v>1791</v>
      </c>
      <c r="K8" s="453" t="s">
        <v>414</v>
      </c>
      <c r="L8" s="464" t="s">
        <v>1934</v>
      </c>
      <c r="M8" s="464" t="s">
        <v>1942</v>
      </c>
    </row>
    <row r="9" spans="4:13" ht="16">
      <c r="D9" s="453" t="s">
        <v>328</v>
      </c>
      <c r="E9" s="455" t="s">
        <v>1789</v>
      </c>
      <c r="F9" s="453" t="s">
        <v>417</v>
      </c>
      <c r="G9" s="459" t="s">
        <v>1794</v>
      </c>
      <c r="I9" s="453" t="s">
        <v>420</v>
      </c>
      <c r="J9" s="453" t="s">
        <v>440</v>
      </c>
      <c r="K9" s="361"/>
      <c r="L9" t="s">
        <v>1935</v>
      </c>
      <c r="M9" s="51" t="s">
        <v>1943</v>
      </c>
    </row>
    <row r="10" spans="4:13" ht="16">
      <c r="D10" s="453"/>
      <c r="E10" s="453" t="s">
        <v>439</v>
      </c>
      <c r="F10" s="465" t="s">
        <v>1938</v>
      </c>
      <c r="G10" s="459" t="s">
        <v>1795</v>
      </c>
      <c r="H10" s="454"/>
      <c r="I10" s="484" t="s">
        <v>416</v>
      </c>
      <c r="J10" s="455" t="s">
        <v>1793</v>
      </c>
      <c r="K10" s="361"/>
      <c r="L10" t="s">
        <v>1936</v>
      </c>
      <c r="M10" s="51" t="s">
        <v>1944</v>
      </c>
    </row>
    <row r="11" spans="4:13" ht="16">
      <c r="D11" s="455"/>
      <c r="E11" s="461" t="s">
        <v>1911</v>
      </c>
      <c r="F11" s="456" t="s">
        <v>1939</v>
      </c>
      <c r="G11" s="367" t="s">
        <v>1916</v>
      </c>
      <c r="H11" s="456"/>
      <c r="I11" s="456" t="s">
        <v>418</v>
      </c>
      <c r="J11" s="453" t="s">
        <v>1796</v>
      </c>
      <c r="K11" s="361"/>
      <c r="L11" t="s">
        <v>1937</v>
      </c>
      <c r="M11" s="51" t="s">
        <v>1945</v>
      </c>
    </row>
    <row r="12" spans="4:13" ht="16">
      <c r="D12" s="365"/>
      <c r="E12" s="368" t="s">
        <v>1912</v>
      </c>
      <c r="F12" s="368"/>
      <c r="G12" s="186" t="s">
        <v>1917</v>
      </c>
      <c r="H12" s="368"/>
      <c r="I12" s="456" t="s">
        <v>1915</v>
      </c>
      <c r="J12" s="368" t="s">
        <v>1931</v>
      </c>
      <c r="K12" s="51"/>
    </row>
    <row r="13" spans="4:13" ht="16">
      <c r="D13" s="365"/>
      <c r="E13" s="368" t="s">
        <v>1913</v>
      </c>
      <c r="F13" s="368"/>
      <c r="G13" s="186" t="s">
        <v>1918</v>
      </c>
      <c r="H13" s="368"/>
      <c r="I13" s="186" t="s">
        <v>1914</v>
      </c>
      <c r="J13" s="485" t="s">
        <v>1965</v>
      </c>
      <c r="K13" s="51"/>
    </row>
    <row r="14" spans="4:13" ht="16">
      <c r="D14" s="372"/>
      <c r="E14" s="451" t="s">
        <v>1930</v>
      </c>
      <c r="F14" s="186"/>
      <c r="H14" s="186"/>
      <c r="I14" s="186"/>
      <c r="J14" s="486" t="s">
        <v>1966</v>
      </c>
      <c r="K14" s="51"/>
    </row>
    <row r="15" spans="4:13" ht="16">
      <c r="D15" s="190"/>
      <c r="E15" t="s">
        <v>1946</v>
      </c>
      <c r="F15" s="186"/>
      <c r="H15" s="186"/>
      <c r="I15" s="186"/>
      <c r="J15" s="186"/>
      <c r="K15" s="51"/>
    </row>
    <row r="16" spans="4:13" ht="16">
      <c r="D16" s="190"/>
      <c r="E16" s="486" t="s">
        <v>1967</v>
      </c>
      <c r="F16" s="369"/>
      <c r="G16" s="186"/>
      <c r="H16" s="186"/>
      <c r="I16" s="186"/>
      <c r="J16" s="186"/>
      <c r="K16" s="51"/>
    </row>
    <row r="17" spans="4:12" ht="16">
      <c r="D17" s="190"/>
      <c r="E17" s="186"/>
      <c r="F17" s="369"/>
      <c r="G17" s="186"/>
      <c r="H17" s="186"/>
      <c r="I17" s="186"/>
      <c r="J17" s="186"/>
      <c r="K17" s="51"/>
    </row>
    <row r="18" spans="4:12" ht="16">
      <c r="D18" s="190"/>
      <c r="E18" s="186"/>
      <c r="F18" s="483"/>
      <c r="G18" s="186"/>
      <c r="H18" s="186"/>
      <c r="I18" s="186"/>
      <c r="J18" s="186"/>
      <c r="K18" s="51"/>
    </row>
    <row r="19" spans="4:12" ht="16">
      <c r="D19" s="195">
        <v>3</v>
      </c>
      <c r="E19" s="196">
        <v>4</v>
      </c>
      <c r="F19" s="196">
        <v>3</v>
      </c>
      <c r="G19" s="196">
        <v>2</v>
      </c>
      <c r="H19" s="196">
        <v>3</v>
      </c>
      <c r="I19" s="196">
        <v>5</v>
      </c>
      <c r="J19" s="196">
        <v>4</v>
      </c>
      <c r="K19" s="54">
        <v>2</v>
      </c>
      <c r="L19" s="196">
        <v>26</v>
      </c>
    </row>
    <row r="24" spans="4:12">
      <c r="D24" s="479" t="s">
        <v>1961</v>
      </c>
      <c r="E24" s="480" t="s">
        <v>1963</v>
      </c>
      <c r="F24" s="481" t="s">
        <v>1962</v>
      </c>
    </row>
    <row r="25" spans="4:12">
      <c r="D25" s="50" t="s">
        <v>328</v>
      </c>
      <c r="E25" s="336" t="s">
        <v>1791</v>
      </c>
      <c r="F25" s="51" t="s">
        <v>1939</v>
      </c>
    </row>
    <row r="26" spans="4:12">
      <c r="D26" s="50" t="s">
        <v>341</v>
      </c>
      <c r="E26" t="s">
        <v>417</v>
      </c>
      <c r="F26" s="51" t="s">
        <v>1793</v>
      </c>
    </row>
    <row r="27" spans="4:12">
      <c r="D27" s="487" t="s">
        <v>329</v>
      </c>
      <c r="E27" s="336" t="s">
        <v>419</v>
      </c>
      <c r="F27" s="51" t="s">
        <v>420</v>
      </c>
    </row>
    <row r="28" spans="4:12">
      <c r="D28" s="487" t="s">
        <v>338</v>
      </c>
      <c r="E28" t="s">
        <v>1795</v>
      </c>
      <c r="F28" s="51" t="s">
        <v>1914</v>
      </c>
    </row>
    <row r="29" spans="4:12">
      <c r="D29" s="488" t="s">
        <v>1960</v>
      </c>
      <c r="E29" s="336" t="s">
        <v>412</v>
      </c>
      <c r="F29" s="51" t="s">
        <v>414</v>
      </c>
    </row>
    <row r="30" spans="4:12">
      <c r="D30" s="487" t="s">
        <v>1789</v>
      </c>
      <c r="E30" s="336" t="s">
        <v>469</v>
      </c>
      <c r="F30" s="51" t="s">
        <v>1794</v>
      </c>
    </row>
    <row r="31" spans="4:12">
      <c r="D31" s="488" t="s">
        <v>422</v>
      </c>
      <c r="E31" t="s">
        <v>1964</v>
      </c>
      <c r="F31" s="51" t="s">
        <v>415</v>
      </c>
    </row>
    <row r="32" spans="4:12">
      <c r="D32" s="487" t="s">
        <v>423</v>
      </c>
      <c r="E32" t="s">
        <v>1930</v>
      </c>
      <c r="F32" s="489" t="s">
        <v>413</v>
      </c>
    </row>
    <row r="33" spans="4:9">
      <c r="D33" s="487" t="s">
        <v>339</v>
      </c>
      <c r="E33" t="s">
        <v>1915</v>
      </c>
      <c r="F33" s="51" t="s">
        <v>439</v>
      </c>
    </row>
    <row r="34" spans="4:9">
      <c r="D34" s="487" t="s">
        <v>357</v>
      </c>
      <c r="F34" s="51" t="s">
        <v>1968</v>
      </c>
    </row>
    <row r="35" spans="4:9">
      <c r="D35" s="50"/>
      <c r="F35" s="51"/>
    </row>
    <row r="40" spans="4:9" ht="21">
      <c r="D40" s="320" t="s">
        <v>125</v>
      </c>
      <c r="E40" s="291" t="s">
        <v>1782</v>
      </c>
      <c r="F40" s="291"/>
      <c r="G40" s="291"/>
      <c r="H40" s="291"/>
      <c r="I40" s="291"/>
    </row>
    <row r="41" spans="4:9" ht="21">
      <c r="D41" s="394" t="s">
        <v>407</v>
      </c>
      <c r="E41" s="393" t="s">
        <v>410</v>
      </c>
      <c r="F41" s="393" t="s">
        <v>468</v>
      </c>
      <c r="G41" s="393" t="s">
        <v>1875</v>
      </c>
      <c r="H41" s="427" t="s">
        <v>1858</v>
      </c>
      <c r="I41" s="395" t="s">
        <v>305</v>
      </c>
    </row>
    <row r="42" spans="4:9" ht="21">
      <c r="D42" s="321" t="s">
        <v>406</v>
      </c>
      <c r="E42" s="291">
        <v>35419</v>
      </c>
      <c r="F42" s="291">
        <v>64982</v>
      </c>
      <c r="G42" s="291">
        <v>55234</v>
      </c>
      <c r="H42" s="428">
        <f t="shared" ref="H42:H48" si="0">((F42/E42)^(1/5)-1)*100</f>
        <v>12.904527003934252</v>
      </c>
      <c r="I42" s="243"/>
    </row>
    <row r="43" spans="4:9" ht="21">
      <c r="D43" s="321" t="s">
        <v>408</v>
      </c>
      <c r="E43" s="291">
        <v>6060</v>
      </c>
      <c r="F43" s="396" t="s">
        <v>1874</v>
      </c>
      <c r="G43" s="396" t="s">
        <v>1876</v>
      </c>
      <c r="H43" s="428">
        <f t="shared" si="0"/>
        <v>11.910105978352004</v>
      </c>
      <c r="I43" s="243" t="s">
        <v>741</v>
      </c>
    </row>
    <row r="44" spans="4:9" ht="21">
      <c r="D44" s="321" t="s">
        <v>409</v>
      </c>
      <c r="E44" s="291">
        <v>350</v>
      </c>
      <c r="F44" s="291">
        <v>556</v>
      </c>
      <c r="G44" s="291">
        <v>472</v>
      </c>
      <c r="H44" s="428">
        <f t="shared" si="0"/>
        <v>9.6986667867398744</v>
      </c>
      <c r="I44" s="243"/>
    </row>
    <row r="45" spans="4:9" ht="21">
      <c r="D45" s="321" t="s">
        <v>436</v>
      </c>
      <c r="E45" s="291">
        <v>30000</v>
      </c>
      <c r="F45" s="291">
        <v>33834</v>
      </c>
      <c r="G45" s="291">
        <v>33834</v>
      </c>
      <c r="H45" s="428">
        <f t="shared" si="0"/>
        <v>2.4345391854210696</v>
      </c>
      <c r="I45" s="243" t="s">
        <v>1849</v>
      </c>
    </row>
    <row r="46" spans="4:9" ht="21">
      <c r="D46" s="321" t="s">
        <v>504</v>
      </c>
      <c r="E46" s="291">
        <v>75000</v>
      </c>
      <c r="F46" s="291">
        <v>76000</v>
      </c>
      <c r="G46" s="291">
        <v>76000</v>
      </c>
      <c r="H46" s="428">
        <f t="shared" si="0"/>
        <v>0.26525571709437035</v>
      </c>
      <c r="I46" s="243" t="s">
        <v>1767</v>
      </c>
    </row>
    <row r="47" spans="4:9" ht="21">
      <c r="D47" s="321" t="s">
        <v>630</v>
      </c>
      <c r="E47" s="291">
        <v>45000</v>
      </c>
      <c r="F47" s="291">
        <v>45887</v>
      </c>
      <c r="G47" s="291">
        <v>45887</v>
      </c>
      <c r="H47" s="428">
        <f t="shared" si="0"/>
        <v>0.39115025920724023</v>
      </c>
      <c r="I47" s="243" t="s">
        <v>1848</v>
      </c>
    </row>
    <row r="48" spans="4:9" ht="21">
      <c r="D48" s="321" t="s">
        <v>1783</v>
      </c>
      <c r="E48" s="291">
        <v>325674</v>
      </c>
      <c r="F48" s="291">
        <v>325674</v>
      </c>
      <c r="G48" s="291">
        <v>227971</v>
      </c>
      <c r="H48" s="428">
        <f t="shared" si="0"/>
        <v>0</v>
      </c>
      <c r="I48" s="323" t="s">
        <v>1797</v>
      </c>
    </row>
    <row r="49" spans="4:9" ht="21">
      <c r="D49" s="322" t="s">
        <v>34</v>
      </c>
      <c r="E49" s="244">
        <v>517503</v>
      </c>
      <c r="F49" s="392">
        <v>546933</v>
      </c>
      <c r="G49" s="392" t="s">
        <v>1877</v>
      </c>
      <c r="H49" s="244"/>
      <c r="I49" s="323"/>
    </row>
    <row r="50" spans="4:9" ht="21">
      <c r="D50" s="234"/>
      <c r="E50" s="234"/>
      <c r="F50" s="234"/>
      <c r="G50" s="234"/>
      <c r="H50" s="234"/>
      <c r="I50" s="18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B3C84-E05B-9446-9152-E1F5764078D1}">
  <dimension ref="C4:AC516"/>
  <sheetViews>
    <sheetView topLeftCell="A40" zoomScaleNormal="100" workbookViewId="0">
      <selection activeCell="K16" sqref="K16"/>
    </sheetView>
  </sheetViews>
  <sheetFormatPr baseColWidth="10" defaultRowHeight="15"/>
  <cols>
    <col min="3" max="3" width="40.83203125" customWidth="1"/>
    <col min="4" max="4" width="15.83203125" bestFit="1" customWidth="1"/>
    <col min="5" max="5" width="15.83203125" customWidth="1"/>
    <col min="6" max="6" width="19.6640625" bestFit="1" customWidth="1"/>
    <col min="7" max="7" width="30.1640625" customWidth="1"/>
    <col min="9" max="9" width="27.33203125" bestFit="1" customWidth="1"/>
    <col min="10" max="10" width="29" customWidth="1"/>
    <col min="11" max="11" width="43.1640625" bestFit="1" customWidth="1"/>
    <col min="13" max="13" width="27.6640625" bestFit="1" customWidth="1"/>
    <col min="14" max="14" width="26.1640625" customWidth="1"/>
    <col min="15" max="15" width="16.6640625" customWidth="1"/>
    <col min="16" max="16" width="17.5" bestFit="1" customWidth="1"/>
    <col min="17" max="17" width="14.83203125" bestFit="1" customWidth="1"/>
    <col min="18" max="18" width="18.5" customWidth="1"/>
    <col min="21" max="21" width="31.6640625" customWidth="1"/>
    <col min="26" max="26" width="7.1640625" bestFit="1" customWidth="1"/>
    <col min="27" max="27" width="69.1640625" bestFit="1" customWidth="1"/>
    <col min="28" max="28" width="43.5" bestFit="1" customWidth="1"/>
    <col min="29" max="29" width="21.33203125" bestFit="1" customWidth="1"/>
  </cols>
  <sheetData>
    <row r="4" spans="3:29" ht="26">
      <c r="C4" s="279" t="s">
        <v>683</v>
      </c>
      <c r="F4" s="279" t="s">
        <v>684</v>
      </c>
      <c r="I4" s="279" t="s">
        <v>1846</v>
      </c>
    </row>
    <row r="5" spans="3:29" ht="20">
      <c r="C5" s="514" t="s">
        <v>641</v>
      </c>
      <c r="D5" s="512" t="s">
        <v>642</v>
      </c>
      <c r="E5" s="23"/>
      <c r="F5" s="514" t="s">
        <v>641</v>
      </c>
      <c r="G5" s="512" t="s">
        <v>642</v>
      </c>
      <c r="I5" s="412" t="s">
        <v>754</v>
      </c>
      <c r="J5" s="412" t="s">
        <v>756</v>
      </c>
      <c r="K5" s="412" t="s">
        <v>1800</v>
      </c>
    </row>
    <row r="6" spans="3:29">
      <c r="C6" s="515"/>
      <c r="D6" s="513"/>
      <c r="E6" s="23"/>
      <c r="F6" s="515"/>
      <c r="G6" s="513"/>
      <c r="I6" s="415" t="s">
        <v>1801</v>
      </c>
      <c r="J6" s="416" t="s">
        <v>765</v>
      </c>
      <c r="K6" s="417" t="s">
        <v>764</v>
      </c>
    </row>
    <row r="7" spans="3:29">
      <c r="C7" s="50" t="s">
        <v>643</v>
      </c>
      <c r="D7" s="51" t="s">
        <v>644</v>
      </c>
      <c r="F7" s="50" t="s">
        <v>708</v>
      </c>
      <c r="G7" s="51" t="s">
        <v>709</v>
      </c>
      <c r="I7" s="413" t="s">
        <v>1802</v>
      </c>
      <c r="J7" s="418" t="s">
        <v>786</v>
      </c>
      <c r="K7" s="419" t="s">
        <v>785</v>
      </c>
    </row>
    <row r="8" spans="3:29">
      <c r="C8" s="176" t="s">
        <v>645</v>
      </c>
      <c r="D8" s="51" t="s">
        <v>646</v>
      </c>
      <c r="F8" s="176" t="s">
        <v>682</v>
      </c>
      <c r="G8" s="51" t="s">
        <v>652</v>
      </c>
      <c r="I8" s="413" t="s">
        <v>1803</v>
      </c>
      <c r="J8" s="418" t="s">
        <v>791</v>
      </c>
      <c r="K8" s="419" t="s">
        <v>785</v>
      </c>
    </row>
    <row r="9" spans="3:29">
      <c r="C9" s="50" t="s">
        <v>647</v>
      </c>
      <c r="D9" s="51" t="s">
        <v>648</v>
      </c>
      <c r="F9" s="50" t="s">
        <v>685</v>
      </c>
      <c r="G9" s="51" t="s">
        <v>642</v>
      </c>
      <c r="I9" s="413" t="s">
        <v>1804</v>
      </c>
      <c r="J9" s="418" t="s">
        <v>796</v>
      </c>
      <c r="K9" s="419" t="s">
        <v>785</v>
      </c>
    </row>
    <row r="10" spans="3:29">
      <c r="C10" s="176" t="s">
        <v>530</v>
      </c>
      <c r="D10" s="51" t="s">
        <v>648</v>
      </c>
      <c r="F10" s="176" t="s">
        <v>686</v>
      </c>
      <c r="G10" s="51" t="s">
        <v>642</v>
      </c>
      <c r="I10" s="413" t="s">
        <v>1805</v>
      </c>
      <c r="J10" s="418" t="s">
        <v>835</v>
      </c>
      <c r="K10" s="419" t="s">
        <v>767</v>
      </c>
    </row>
    <row r="11" spans="3:29">
      <c r="C11" s="50" t="s">
        <v>649</v>
      </c>
      <c r="D11" s="51" t="s">
        <v>650</v>
      </c>
      <c r="F11" s="50" t="s">
        <v>687</v>
      </c>
      <c r="G11" s="51" t="s">
        <v>642</v>
      </c>
      <c r="I11" s="413" t="s">
        <v>1806</v>
      </c>
      <c r="J11" s="418" t="s">
        <v>887</v>
      </c>
      <c r="K11" s="419" t="s">
        <v>758</v>
      </c>
    </row>
    <row r="12" spans="3:29">
      <c r="C12" s="176" t="s">
        <v>651</v>
      </c>
      <c r="D12" s="51" t="s">
        <v>652</v>
      </c>
      <c r="F12" s="50" t="s">
        <v>643</v>
      </c>
      <c r="G12" s="51" t="s">
        <v>644</v>
      </c>
      <c r="I12" s="413" t="s">
        <v>1807</v>
      </c>
      <c r="J12" s="418" t="s">
        <v>1808</v>
      </c>
      <c r="K12" s="419" t="s">
        <v>758</v>
      </c>
    </row>
    <row r="13" spans="3:29">
      <c r="C13" s="176" t="s">
        <v>653</v>
      </c>
      <c r="D13" s="51" t="s">
        <v>646</v>
      </c>
      <c r="F13" s="176" t="s">
        <v>645</v>
      </c>
      <c r="G13" s="51" t="s">
        <v>646</v>
      </c>
      <c r="I13" s="413" t="s">
        <v>896</v>
      </c>
      <c r="J13" s="418" t="s">
        <v>897</v>
      </c>
      <c r="K13" s="419" t="s">
        <v>758</v>
      </c>
    </row>
    <row r="14" spans="3:29">
      <c r="C14" s="50" t="s">
        <v>654</v>
      </c>
      <c r="D14" s="51" t="s">
        <v>655</v>
      </c>
      <c r="F14" s="50" t="s">
        <v>688</v>
      </c>
      <c r="G14" s="51" t="s">
        <v>665</v>
      </c>
      <c r="I14" s="413" t="s">
        <v>1809</v>
      </c>
      <c r="J14" s="418" t="s">
        <v>689</v>
      </c>
      <c r="K14" s="419" t="s">
        <v>1810</v>
      </c>
    </row>
    <row r="15" spans="3:29">
      <c r="C15" s="176" t="s">
        <v>656</v>
      </c>
      <c r="D15" s="51" t="s">
        <v>646</v>
      </c>
      <c r="F15" s="50" t="s">
        <v>647</v>
      </c>
      <c r="G15" s="51" t="s">
        <v>648</v>
      </c>
      <c r="I15" s="413" t="s">
        <v>1811</v>
      </c>
      <c r="J15" s="418" t="s">
        <v>942</v>
      </c>
      <c r="K15" s="419" t="s">
        <v>801</v>
      </c>
    </row>
    <row r="16" spans="3:29" ht="18">
      <c r="C16" s="176" t="s">
        <v>657</v>
      </c>
      <c r="D16" s="51" t="s">
        <v>646</v>
      </c>
      <c r="F16" s="176" t="s">
        <v>530</v>
      </c>
      <c r="G16" s="51" t="s">
        <v>648</v>
      </c>
      <c r="I16" s="413" t="s">
        <v>1812</v>
      </c>
      <c r="J16" s="418" t="s">
        <v>937</v>
      </c>
      <c r="K16" s="419" t="s">
        <v>829</v>
      </c>
      <c r="Z16" s="374" t="s">
        <v>753</v>
      </c>
      <c r="AA16" s="374" t="s">
        <v>754</v>
      </c>
      <c r="AB16" s="374" t="s">
        <v>755</v>
      </c>
      <c r="AC16" s="374" t="s">
        <v>756</v>
      </c>
    </row>
    <row r="17" spans="3:29" ht="20">
      <c r="C17" s="176" t="s">
        <v>658</v>
      </c>
      <c r="D17" s="51" t="s">
        <v>652</v>
      </c>
      <c r="F17" s="50" t="s">
        <v>649</v>
      </c>
      <c r="G17" s="51" t="s">
        <v>650</v>
      </c>
      <c r="I17" s="413" t="s">
        <v>961</v>
      </c>
      <c r="J17" s="418" t="s">
        <v>962</v>
      </c>
      <c r="K17" s="419" t="s">
        <v>758</v>
      </c>
      <c r="Z17" s="373">
        <v>1</v>
      </c>
      <c r="AA17" s="373" t="s">
        <v>757</v>
      </c>
      <c r="AB17" s="373" t="s">
        <v>758</v>
      </c>
      <c r="AC17" s="373" t="s">
        <v>759</v>
      </c>
    </row>
    <row r="18" spans="3:29" ht="20">
      <c r="C18" s="176" t="s">
        <v>536</v>
      </c>
      <c r="D18" s="51" t="s">
        <v>659</v>
      </c>
      <c r="F18" s="50" t="s">
        <v>689</v>
      </c>
      <c r="G18" s="51" t="s">
        <v>672</v>
      </c>
      <c r="I18" s="413" t="s">
        <v>1813</v>
      </c>
      <c r="J18" s="418" t="s">
        <v>950</v>
      </c>
      <c r="K18" s="419" t="s">
        <v>764</v>
      </c>
      <c r="Z18" s="373">
        <v>2</v>
      </c>
      <c r="AA18" s="373" t="s">
        <v>760</v>
      </c>
      <c r="AB18" s="373" t="s">
        <v>761</v>
      </c>
      <c r="AC18" s="373" t="s">
        <v>762</v>
      </c>
    </row>
    <row r="19" spans="3:29" ht="20">
      <c r="C19" s="50" t="s">
        <v>660</v>
      </c>
      <c r="D19" s="51" t="s">
        <v>661</v>
      </c>
      <c r="F19" s="176" t="s">
        <v>690</v>
      </c>
      <c r="G19" s="51" t="s">
        <v>674</v>
      </c>
      <c r="I19" s="413" t="s">
        <v>552</v>
      </c>
      <c r="J19" s="418" t="s">
        <v>997</v>
      </c>
      <c r="K19" s="419" t="s">
        <v>758</v>
      </c>
      <c r="Z19" s="373">
        <v>3</v>
      </c>
      <c r="AA19" s="373" t="s">
        <v>763</v>
      </c>
      <c r="AB19" s="373" t="s">
        <v>764</v>
      </c>
      <c r="AC19" s="373" t="s">
        <v>765</v>
      </c>
    </row>
    <row r="20" spans="3:29" ht="20">
      <c r="C20" s="50" t="s">
        <v>662</v>
      </c>
      <c r="D20" s="51" t="s">
        <v>646</v>
      </c>
      <c r="F20" s="50" t="s">
        <v>691</v>
      </c>
      <c r="G20" s="302" t="s">
        <v>692</v>
      </c>
      <c r="I20" s="413" t="s">
        <v>1814</v>
      </c>
      <c r="J20" s="418" t="s">
        <v>1036</v>
      </c>
      <c r="K20" s="419" t="s">
        <v>801</v>
      </c>
      <c r="Z20" s="373">
        <v>4</v>
      </c>
      <c r="AA20" s="373" t="s">
        <v>766</v>
      </c>
      <c r="AB20" s="373" t="s">
        <v>767</v>
      </c>
      <c r="AC20" s="373" t="s">
        <v>768</v>
      </c>
    </row>
    <row r="21" spans="3:29" ht="20">
      <c r="C21" s="50" t="s">
        <v>532</v>
      </c>
      <c r="D21" s="51" t="s">
        <v>663</v>
      </c>
      <c r="F21" s="50" t="s">
        <v>693</v>
      </c>
      <c r="G21" s="51" t="s">
        <v>674</v>
      </c>
      <c r="I21" s="413" t="s">
        <v>1815</v>
      </c>
      <c r="J21" s="418" t="s">
        <v>1050</v>
      </c>
      <c r="K21" s="419" t="s">
        <v>498</v>
      </c>
      <c r="M21" s="191" t="s">
        <v>628</v>
      </c>
      <c r="N21" s="192"/>
      <c r="O21" s="193"/>
      <c r="P21" s="186"/>
      <c r="Q21" s="186"/>
      <c r="R21" s="186"/>
      <c r="S21" s="186"/>
      <c r="Z21" s="373">
        <v>5</v>
      </c>
      <c r="AA21" s="373" t="s">
        <v>769</v>
      </c>
      <c r="AB21" s="373" t="s">
        <v>764</v>
      </c>
      <c r="AC21" s="373" t="s">
        <v>770</v>
      </c>
    </row>
    <row r="22" spans="3:29" ht="20">
      <c r="C22" s="50" t="s">
        <v>664</v>
      </c>
      <c r="D22" s="51" t="s">
        <v>665</v>
      </c>
      <c r="F22" s="50" t="s">
        <v>694</v>
      </c>
      <c r="G22" s="51" t="s">
        <v>674</v>
      </c>
      <c r="I22" s="413" t="s">
        <v>1032</v>
      </c>
      <c r="J22" s="418" t="s">
        <v>1032</v>
      </c>
      <c r="K22" s="419" t="s">
        <v>939</v>
      </c>
      <c r="M22" s="366" t="s">
        <v>524</v>
      </c>
      <c r="N22" s="205" t="s">
        <v>529</v>
      </c>
      <c r="O22" s="205" t="s">
        <v>533</v>
      </c>
      <c r="P22" s="205" t="s">
        <v>557</v>
      </c>
      <c r="Q22" s="205" t="s">
        <v>538</v>
      </c>
      <c r="R22" s="205" t="s">
        <v>540</v>
      </c>
      <c r="S22" s="205" t="s">
        <v>542</v>
      </c>
      <c r="T22" s="205" t="s">
        <v>1904</v>
      </c>
      <c r="U22" s="205" t="s">
        <v>1969</v>
      </c>
      <c r="V22" s="494" t="s">
        <v>1975</v>
      </c>
      <c r="Z22" s="373">
        <v>6</v>
      </c>
      <c r="AA22" s="373" t="s">
        <v>771</v>
      </c>
      <c r="AB22" s="373" t="s">
        <v>764</v>
      </c>
      <c r="AC22" s="373" t="s">
        <v>772</v>
      </c>
    </row>
    <row r="23" spans="3:29" ht="20">
      <c r="C23" s="50" t="s">
        <v>666</v>
      </c>
      <c r="D23" s="51" t="s">
        <v>665</v>
      </c>
      <c r="F23" s="50" t="s">
        <v>695</v>
      </c>
      <c r="G23" s="51" t="s">
        <v>665</v>
      </c>
      <c r="I23" s="413" t="s">
        <v>1816</v>
      </c>
      <c r="J23" s="418" t="s">
        <v>871</v>
      </c>
      <c r="K23" s="419" t="s">
        <v>806</v>
      </c>
      <c r="M23" s="280" t="s">
        <v>145</v>
      </c>
      <c r="N23" s="367" t="s">
        <v>530</v>
      </c>
      <c r="O23" s="368" t="s">
        <v>534</v>
      </c>
      <c r="P23" s="367" t="s">
        <v>535</v>
      </c>
      <c r="Q23" s="367" t="s">
        <v>536</v>
      </c>
      <c r="R23" s="367" t="s">
        <v>541</v>
      </c>
      <c r="S23" s="367" t="s">
        <v>543</v>
      </c>
      <c r="T23" s="367" t="s">
        <v>1798</v>
      </c>
      <c r="U23" s="499" t="s">
        <v>1970</v>
      </c>
      <c r="V23" s="495" t="s">
        <v>1976</v>
      </c>
      <c r="Z23" s="373">
        <v>7</v>
      </c>
      <c r="AA23" s="278" t="s">
        <v>773</v>
      </c>
      <c r="AB23" s="373" t="s">
        <v>758</v>
      </c>
      <c r="AC23" s="373" t="s">
        <v>774</v>
      </c>
    </row>
    <row r="24" spans="3:29" ht="20">
      <c r="C24" s="50" t="s">
        <v>667</v>
      </c>
      <c r="D24" s="51" t="s">
        <v>659</v>
      </c>
      <c r="F24" s="50" t="s">
        <v>696</v>
      </c>
      <c r="G24" s="51" t="s">
        <v>697</v>
      </c>
      <c r="I24" s="413" t="s">
        <v>1107</v>
      </c>
      <c r="J24" s="418" t="s">
        <v>1107</v>
      </c>
      <c r="K24" s="419" t="s">
        <v>1810</v>
      </c>
      <c r="M24" s="280" t="s">
        <v>525</v>
      </c>
      <c r="N24" s="490" t="s">
        <v>531</v>
      </c>
      <c r="O24" s="367" t="s">
        <v>554</v>
      </c>
      <c r="P24" s="367" t="s">
        <v>550</v>
      </c>
      <c r="Q24" s="367" t="s">
        <v>537</v>
      </c>
      <c r="R24" s="367" t="s">
        <v>548</v>
      </c>
      <c r="S24" s="367" t="s">
        <v>96</v>
      </c>
      <c r="T24" s="491" t="s">
        <v>664</v>
      </c>
      <c r="U24" s="499" t="s">
        <v>1971</v>
      </c>
      <c r="V24" s="495" t="s">
        <v>1976</v>
      </c>
      <c r="Z24" s="373">
        <v>8</v>
      </c>
      <c r="AA24" s="373" t="s">
        <v>775</v>
      </c>
      <c r="AB24" s="373" t="s">
        <v>776</v>
      </c>
      <c r="AC24" s="373" t="s">
        <v>777</v>
      </c>
    </row>
    <row r="25" spans="3:29" ht="20">
      <c r="C25" s="50" t="s">
        <v>668</v>
      </c>
      <c r="D25" s="51" t="s">
        <v>669</v>
      </c>
      <c r="F25" s="176" t="s">
        <v>651</v>
      </c>
      <c r="G25" s="51" t="s">
        <v>652</v>
      </c>
      <c r="I25" s="413" t="s">
        <v>1817</v>
      </c>
      <c r="J25" s="418" t="s">
        <v>1133</v>
      </c>
      <c r="K25" s="419" t="s">
        <v>801</v>
      </c>
      <c r="M25" s="280" t="s">
        <v>526</v>
      </c>
      <c r="N25" s="492" t="s">
        <v>552</v>
      </c>
      <c r="O25" s="367" t="s">
        <v>555</v>
      </c>
      <c r="P25" s="492" t="s">
        <v>532</v>
      </c>
      <c r="Q25" s="368" t="s">
        <v>539</v>
      </c>
      <c r="R25" s="492" t="s">
        <v>551</v>
      </c>
      <c r="S25" s="367" t="s">
        <v>544</v>
      </c>
      <c r="U25" s="498" t="s">
        <v>1972</v>
      </c>
      <c r="V25" s="497"/>
      <c r="Z25" s="373">
        <v>9</v>
      </c>
      <c r="AA25" s="278" t="s">
        <v>778</v>
      </c>
      <c r="AB25" s="373" t="s">
        <v>758</v>
      </c>
      <c r="AC25" s="373" t="s">
        <v>779</v>
      </c>
    </row>
    <row r="26" spans="3:29" ht="20">
      <c r="C26" s="50" t="s">
        <v>670</v>
      </c>
      <c r="D26" s="51" t="s">
        <v>669</v>
      </c>
      <c r="F26" s="176" t="s">
        <v>653</v>
      </c>
      <c r="G26" s="51" t="s">
        <v>646</v>
      </c>
      <c r="I26" s="413" t="s">
        <v>539</v>
      </c>
      <c r="J26" s="418" t="s">
        <v>1182</v>
      </c>
      <c r="K26" s="419" t="s">
        <v>832</v>
      </c>
      <c r="M26" s="280" t="s">
        <v>527</v>
      </c>
      <c r="N26" s="367" t="s">
        <v>556</v>
      </c>
      <c r="O26" s="492" t="s">
        <v>560</v>
      </c>
      <c r="Q26" s="493" t="s">
        <v>549</v>
      </c>
      <c r="R26" s="368" t="s">
        <v>1828</v>
      </c>
      <c r="S26" s="367" t="s">
        <v>545</v>
      </c>
      <c r="U26" s="21" t="s">
        <v>1973</v>
      </c>
      <c r="V26" s="497"/>
      <c r="Z26" s="373">
        <v>10</v>
      </c>
      <c r="AA26" s="373" t="s">
        <v>780</v>
      </c>
      <c r="AB26" s="373" t="s">
        <v>498</v>
      </c>
      <c r="AC26" s="373" t="s">
        <v>781</v>
      </c>
    </row>
    <row r="27" spans="3:29" ht="20">
      <c r="C27" s="176" t="s">
        <v>671</v>
      </c>
      <c r="D27" s="51" t="s">
        <v>672</v>
      </c>
      <c r="F27" s="176" t="s">
        <v>698</v>
      </c>
      <c r="G27" s="51" t="s">
        <v>699</v>
      </c>
      <c r="I27" s="413" t="s">
        <v>1818</v>
      </c>
      <c r="J27" s="418" t="s">
        <v>1189</v>
      </c>
      <c r="K27" s="419" t="s">
        <v>764</v>
      </c>
      <c r="M27" s="280" t="s">
        <v>528</v>
      </c>
      <c r="N27" s="367" t="s">
        <v>561</v>
      </c>
      <c r="O27" s="368" t="s">
        <v>1847</v>
      </c>
      <c r="P27" s="367" t="s">
        <v>1844</v>
      </c>
      <c r="Q27" s="368" t="s">
        <v>553</v>
      </c>
      <c r="R27" s="368" t="s">
        <v>1900</v>
      </c>
      <c r="S27" s="367" t="s">
        <v>546</v>
      </c>
      <c r="U27" s="498" t="s">
        <v>1974</v>
      </c>
      <c r="V27" s="497"/>
      <c r="Z27" s="373">
        <v>11</v>
      </c>
      <c r="AA27" s="278" t="s">
        <v>782</v>
      </c>
      <c r="AB27" s="373" t="s">
        <v>764</v>
      </c>
      <c r="AC27" s="373" t="s">
        <v>783</v>
      </c>
    </row>
    <row r="28" spans="3:29" ht="20">
      <c r="C28" s="176" t="s">
        <v>546</v>
      </c>
      <c r="D28" s="51" t="s">
        <v>646</v>
      </c>
      <c r="F28" s="50" t="s">
        <v>700</v>
      </c>
      <c r="G28" s="51" t="s">
        <v>665</v>
      </c>
      <c r="I28" s="413" t="s">
        <v>1819</v>
      </c>
      <c r="J28" s="418" t="s">
        <v>1820</v>
      </c>
      <c r="K28" s="419" t="s">
        <v>829</v>
      </c>
      <c r="M28" s="460" t="s">
        <v>1905</v>
      </c>
      <c r="N28" s="368" t="s">
        <v>1762</v>
      </c>
      <c r="O28" s="368" t="s">
        <v>1894</v>
      </c>
      <c r="P28" s="367" t="s">
        <v>915</v>
      </c>
      <c r="Q28" s="368" t="s">
        <v>751</v>
      </c>
      <c r="R28" s="367" t="s">
        <v>1901</v>
      </c>
      <c r="S28" s="368" t="s">
        <v>547</v>
      </c>
      <c r="U28" s="496" t="s">
        <v>1977</v>
      </c>
      <c r="V28" s="497"/>
      <c r="Z28" s="373">
        <v>12</v>
      </c>
      <c r="AA28" s="278" t="s">
        <v>784</v>
      </c>
      <c r="AB28" s="373" t="s">
        <v>785</v>
      </c>
      <c r="AC28" s="373" t="s">
        <v>786</v>
      </c>
    </row>
    <row r="29" spans="3:29" ht="20">
      <c r="C29" s="176" t="s">
        <v>673</v>
      </c>
      <c r="D29" s="51" t="s">
        <v>674</v>
      </c>
      <c r="F29" s="50" t="s">
        <v>701</v>
      </c>
      <c r="G29" s="51" t="s">
        <v>702</v>
      </c>
      <c r="I29" s="413" t="s">
        <v>1821</v>
      </c>
      <c r="J29" s="418" t="s">
        <v>1211</v>
      </c>
      <c r="K29" s="419" t="s">
        <v>758</v>
      </c>
      <c r="M29" s="460" t="s">
        <v>1906</v>
      </c>
      <c r="N29" s="368"/>
      <c r="O29" s="368" t="s">
        <v>1895</v>
      </c>
      <c r="P29" s="367" t="s">
        <v>911</v>
      </c>
      <c r="Q29" s="368"/>
      <c r="R29" s="368" t="s">
        <v>1902</v>
      </c>
      <c r="S29" s="367" t="s">
        <v>558</v>
      </c>
      <c r="U29" s="496" t="s">
        <v>1978</v>
      </c>
      <c r="V29" s="497"/>
      <c r="Z29" s="373">
        <v>13</v>
      </c>
      <c r="AA29" s="278" t="s">
        <v>787</v>
      </c>
      <c r="AB29" s="373" t="s">
        <v>788</v>
      </c>
      <c r="AC29" s="373" t="s">
        <v>789</v>
      </c>
    </row>
    <row r="30" spans="3:29" ht="20">
      <c r="C30" s="176" t="s">
        <v>675</v>
      </c>
      <c r="D30" s="51" t="s">
        <v>665</v>
      </c>
      <c r="F30" s="432" t="s">
        <v>654</v>
      </c>
      <c r="G30" s="433" t="s">
        <v>655</v>
      </c>
      <c r="I30" s="413" t="s">
        <v>1822</v>
      </c>
      <c r="J30" s="418" t="s">
        <v>1213</v>
      </c>
      <c r="K30" s="419" t="s">
        <v>758</v>
      </c>
      <c r="M30" s="372" t="s">
        <v>752</v>
      </c>
      <c r="N30" s="186"/>
      <c r="O30" s="186" t="s">
        <v>1909</v>
      </c>
      <c r="P30" s="186" t="s">
        <v>1896</v>
      </c>
      <c r="Q30" s="186"/>
      <c r="R30" s="451" t="s">
        <v>1903</v>
      </c>
      <c r="S30" s="451" t="s">
        <v>559</v>
      </c>
      <c r="U30" s="498" t="s">
        <v>1979</v>
      </c>
      <c r="V30" s="497" t="s">
        <v>1980</v>
      </c>
      <c r="Z30" s="373">
        <v>14</v>
      </c>
      <c r="AA30" s="278" t="s">
        <v>790</v>
      </c>
      <c r="AB30" s="373" t="s">
        <v>785</v>
      </c>
      <c r="AC30" s="373" t="s">
        <v>791</v>
      </c>
    </row>
    <row r="31" spans="3:29" ht="20">
      <c r="C31" s="176" t="s">
        <v>676</v>
      </c>
      <c r="D31" s="51" t="s">
        <v>661</v>
      </c>
      <c r="F31" s="176" t="s">
        <v>656</v>
      </c>
      <c r="G31" s="51" t="s">
        <v>646</v>
      </c>
      <c r="I31" s="423" t="s">
        <v>1823</v>
      </c>
      <c r="J31" s="418" t="s">
        <v>1240</v>
      </c>
      <c r="K31" s="419" t="s">
        <v>806</v>
      </c>
      <c r="M31" s="190" t="s">
        <v>1907</v>
      </c>
      <c r="N31" s="186"/>
      <c r="O31" s="186" t="s">
        <v>1910</v>
      </c>
      <c r="P31" s="186" t="s">
        <v>1897</v>
      </c>
      <c r="Q31" s="186"/>
      <c r="R31" s="186"/>
      <c r="S31" s="186"/>
      <c r="U31" s="496" t="s">
        <v>1981</v>
      </c>
      <c r="V31" s="497" t="s">
        <v>1980</v>
      </c>
      <c r="Z31" s="373">
        <v>15</v>
      </c>
      <c r="AA31" s="373" t="s">
        <v>792</v>
      </c>
      <c r="AB31" s="373" t="s">
        <v>793</v>
      </c>
      <c r="AC31" s="373" t="s">
        <v>794</v>
      </c>
    </row>
    <row r="32" spans="3:29" ht="20">
      <c r="C32" s="176" t="s">
        <v>145</v>
      </c>
      <c r="D32" s="51" t="s">
        <v>652</v>
      </c>
      <c r="F32" s="378" t="s">
        <v>657</v>
      </c>
      <c r="G32" s="51" t="s">
        <v>646</v>
      </c>
      <c r="I32" s="413" t="s">
        <v>1824</v>
      </c>
      <c r="J32" s="418" t="s">
        <v>703</v>
      </c>
      <c r="K32" s="419" t="s">
        <v>1810</v>
      </c>
      <c r="M32" s="190" t="s">
        <v>1908</v>
      </c>
      <c r="N32" s="186"/>
      <c r="O32" s="369"/>
      <c r="P32" s="186" t="s">
        <v>1898</v>
      </c>
      <c r="Q32" s="186"/>
      <c r="R32" s="186"/>
      <c r="S32" s="186"/>
      <c r="V32" s="51"/>
      <c r="Z32" s="373">
        <v>16</v>
      </c>
      <c r="AA32" s="278" t="s">
        <v>795</v>
      </c>
      <c r="AB32" s="373" t="s">
        <v>785</v>
      </c>
      <c r="AC32" s="373" t="s">
        <v>796</v>
      </c>
    </row>
    <row r="33" spans="3:29" ht="20">
      <c r="C33" s="176" t="s">
        <v>677</v>
      </c>
      <c r="D33" s="51" t="s">
        <v>652</v>
      </c>
      <c r="F33" s="176" t="s">
        <v>658</v>
      </c>
      <c r="G33" s="51" t="s">
        <v>652</v>
      </c>
      <c r="I33" s="413" t="s">
        <v>1825</v>
      </c>
      <c r="J33" s="418" t="s">
        <v>1264</v>
      </c>
      <c r="K33" s="419" t="s">
        <v>793</v>
      </c>
      <c r="M33" s="190"/>
      <c r="N33" s="186"/>
      <c r="O33" s="369"/>
      <c r="P33" s="186" t="s">
        <v>1899</v>
      </c>
      <c r="Q33" s="186"/>
      <c r="R33" s="186"/>
      <c r="S33" s="186"/>
      <c r="V33" s="51"/>
      <c r="Z33" s="373">
        <v>17</v>
      </c>
      <c r="AA33" s="373" t="s">
        <v>797</v>
      </c>
      <c r="AB33" s="373" t="s">
        <v>798</v>
      </c>
      <c r="AC33" s="373" t="s">
        <v>799</v>
      </c>
    </row>
    <row r="34" spans="3:29" ht="20">
      <c r="C34" s="50" t="s">
        <v>678</v>
      </c>
      <c r="D34" s="51" t="s">
        <v>679</v>
      </c>
      <c r="F34" s="50" t="s">
        <v>703</v>
      </c>
      <c r="G34" s="51" t="s">
        <v>672</v>
      </c>
      <c r="I34" s="413" t="s">
        <v>1826</v>
      </c>
      <c r="J34" s="418" t="s">
        <v>1257</v>
      </c>
      <c r="K34" s="419" t="s">
        <v>806</v>
      </c>
      <c r="M34" s="190"/>
      <c r="N34" s="186"/>
      <c r="O34" s="483"/>
      <c r="P34" s="186"/>
      <c r="Q34" s="186"/>
      <c r="R34" s="186"/>
      <c r="S34" s="186"/>
      <c r="V34" s="51"/>
      <c r="Z34" s="373">
        <v>18</v>
      </c>
      <c r="AA34" s="278" t="s">
        <v>800</v>
      </c>
      <c r="AB34" s="373" t="s">
        <v>801</v>
      </c>
      <c r="AC34" s="373" t="s">
        <v>802</v>
      </c>
    </row>
    <row r="35" spans="3:29" ht="20">
      <c r="C35" s="50" t="s">
        <v>680</v>
      </c>
      <c r="D35" s="51" t="s">
        <v>681</v>
      </c>
      <c r="F35" s="176" t="s">
        <v>536</v>
      </c>
      <c r="G35" s="51" t="s">
        <v>659</v>
      </c>
      <c r="I35" s="422" t="s">
        <v>1247</v>
      </c>
      <c r="J35" s="418" t="s">
        <v>1247</v>
      </c>
      <c r="K35" s="419" t="s">
        <v>758</v>
      </c>
      <c r="M35" s="190">
        <v>6</v>
      </c>
      <c r="N35" s="186">
        <v>3</v>
      </c>
      <c r="O35" s="186">
        <v>2</v>
      </c>
      <c r="P35" s="186">
        <v>6</v>
      </c>
      <c r="Q35" s="186">
        <v>2</v>
      </c>
      <c r="R35" s="186">
        <v>2</v>
      </c>
      <c r="S35" s="186">
        <v>7</v>
      </c>
      <c r="T35" s="186">
        <v>28</v>
      </c>
      <c r="V35" s="51"/>
      <c r="Z35" s="373">
        <v>19</v>
      </c>
      <c r="AA35" s="278" t="s">
        <v>803</v>
      </c>
      <c r="AB35" s="373" t="s">
        <v>758</v>
      </c>
      <c r="AC35" s="373" t="s">
        <v>804</v>
      </c>
    </row>
    <row r="36" spans="3:29" ht="20">
      <c r="C36" s="301" t="s">
        <v>682</v>
      </c>
      <c r="D36" s="54" t="s">
        <v>652</v>
      </c>
      <c r="F36" s="50" t="s">
        <v>660</v>
      </c>
      <c r="G36" s="51" t="s">
        <v>661</v>
      </c>
      <c r="I36" s="413" t="s">
        <v>1827</v>
      </c>
      <c r="J36" s="418" t="s">
        <v>1294</v>
      </c>
      <c r="K36" s="419" t="s">
        <v>788</v>
      </c>
      <c r="M36" s="52"/>
      <c r="N36" s="53"/>
      <c r="O36" s="53"/>
      <c r="P36" s="53"/>
      <c r="Q36" s="53"/>
      <c r="R36" s="53"/>
      <c r="S36" s="53"/>
      <c r="T36" s="53"/>
      <c r="U36" s="53"/>
      <c r="V36" s="54"/>
      <c r="Z36" s="373">
        <v>20</v>
      </c>
      <c r="AA36" s="278" t="s">
        <v>805</v>
      </c>
      <c r="AB36" s="373" t="s">
        <v>806</v>
      </c>
      <c r="AC36" s="373" t="s">
        <v>807</v>
      </c>
    </row>
    <row r="37" spans="3:29" ht="20">
      <c r="F37" s="50" t="s">
        <v>662</v>
      </c>
      <c r="G37" s="51" t="s">
        <v>646</v>
      </c>
      <c r="I37" s="422" t="s">
        <v>1828</v>
      </c>
      <c r="J37" s="418" t="s">
        <v>1280</v>
      </c>
      <c r="K37" s="419" t="s">
        <v>785</v>
      </c>
      <c r="Z37" s="373">
        <v>21</v>
      </c>
      <c r="AA37" s="373" t="s">
        <v>808</v>
      </c>
      <c r="AB37" s="373" t="s">
        <v>798</v>
      </c>
      <c r="AC37" s="373" t="s">
        <v>809</v>
      </c>
    </row>
    <row r="38" spans="3:29" ht="20">
      <c r="F38" s="50" t="s">
        <v>532</v>
      </c>
      <c r="G38" s="51" t="s">
        <v>663</v>
      </c>
      <c r="I38" s="422" t="s">
        <v>1829</v>
      </c>
      <c r="J38" s="418" t="s">
        <v>1360</v>
      </c>
      <c r="K38" s="419" t="s">
        <v>758</v>
      </c>
      <c r="Z38" s="373">
        <v>22</v>
      </c>
      <c r="AA38" s="373" t="s">
        <v>810</v>
      </c>
      <c r="AB38" s="373" t="s">
        <v>776</v>
      </c>
      <c r="AC38" s="373" t="s">
        <v>811</v>
      </c>
    </row>
    <row r="39" spans="3:29" ht="20">
      <c r="F39" s="303" t="s">
        <v>704</v>
      </c>
      <c r="G39" s="51" t="s">
        <v>652</v>
      </c>
      <c r="I39" s="413" t="s">
        <v>1830</v>
      </c>
      <c r="J39" s="418" t="s">
        <v>1374</v>
      </c>
      <c r="K39" s="419" t="s">
        <v>939</v>
      </c>
      <c r="Z39" s="373">
        <v>23</v>
      </c>
      <c r="AA39" s="373" t="s">
        <v>812</v>
      </c>
      <c r="AB39" s="373" t="s">
        <v>813</v>
      </c>
      <c r="AC39" s="373" t="s">
        <v>814</v>
      </c>
    </row>
    <row r="40" spans="3:29" ht="20">
      <c r="F40" s="50" t="s">
        <v>664</v>
      </c>
      <c r="G40" s="51" t="s">
        <v>665</v>
      </c>
      <c r="I40" s="413" t="s">
        <v>1831</v>
      </c>
      <c r="J40" s="418" t="s">
        <v>1348</v>
      </c>
      <c r="K40" s="419" t="s">
        <v>813</v>
      </c>
      <c r="Z40" s="373">
        <v>24</v>
      </c>
      <c r="AA40" s="373" t="s">
        <v>815</v>
      </c>
      <c r="AB40" s="373" t="s">
        <v>498</v>
      </c>
      <c r="AC40" s="373" t="s">
        <v>816</v>
      </c>
    </row>
    <row r="41" spans="3:29" ht="20">
      <c r="F41" s="50" t="s">
        <v>666</v>
      </c>
      <c r="G41" s="51" t="s">
        <v>665</v>
      </c>
      <c r="I41" s="413" t="s">
        <v>1832</v>
      </c>
      <c r="J41" s="418" t="s">
        <v>1488</v>
      </c>
      <c r="K41" s="419" t="s">
        <v>776</v>
      </c>
      <c r="Z41" s="373">
        <v>25</v>
      </c>
      <c r="AA41" s="278" t="s">
        <v>817</v>
      </c>
      <c r="AB41" s="373" t="s">
        <v>498</v>
      </c>
      <c r="AC41" s="373" t="s">
        <v>818</v>
      </c>
    </row>
    <row r="42" spans="3:29" ht="20">
      <c r="F42" s="50" t="s">
        <v>667</v>
      </c>
      <c r="G42" s="51" t="s">
        <v>659</v>
      </c>
      <c r="I42" s="413" t="s">
        <v>1833</v>
      </c>
      <c r="J42" s="418" t="s">
        <v>1500</v>
      </c>
      <c r="K42" s="419" t="s">
        <v>758</v>
      </c>
      <c r="Z42" s="373">
        <v>26</v>
      </c>
      <c r="AA42" s="278" t="s">
        <v>819</v>
      </c>
      <c r="AB42" s="373" t="s">
        <v>498</v>
      </c>
      <c r="AC42" s="373" t="s">
        <v>820</v>
      </c>
    </row>
    <row r="43" spans="3:29" ht="20">
      <c r="F43" s="50" t="s">
        <v>668</v>
      </c>
      <c r="G43" s="51" t="s">
        <v>669</v>
      </c>
      <c r="I43" s="413" t="s">
        <v>1513</v>
      </c>
      <c r="J43" s="418" t="s">
        <v>1514</v>
      </c>
      <c r="K43" s="419" t="s">
        <v>758</v>
      </c>
      <c r="Z43" s="373">
        <v>27</v>
      </c>
      <c r="AA43" s="373" t="s">
        <v>821</v>
      </c>
      <c r="AB43" s="373" t="s">
        <v>776</v>
      </c>
      <c r="AC43" s="373" t="s">
        <v>822</v>
      </c>
    </row>
    <row r="44" spans="3:29" ht="20">
      <c r="F44" s="50" t="s">
        <v>705</v>
      </c>
      <c r="G44" s="51" t="s">
        <v>672</v>
      </c>
      <c r="I44" s="413" t="s">
        <v>1834</v>
      </c>
      <c r="J44" s="418" t="s">
        <v>1522</v>
      </c>
      <c r="K44" s="419" t="s">
        <v>758</v>
      </c>
      <c r="Z44" s="373">
        <v>28</v>
      </c>
      <c r="AA44" s="278" t="s">
        <v>823</v>
      </c>
      <c r="AB44" s="373" t="s">
        <v>793</v>
      </c>
      <c r="AC44" s="373" t="s">
        <v>824</v>
      </c>
    </row>
    <row r="45" spans="3:29" ht="20">
      <c r="F45" s="50" t="s">
        <v>670</v>
      </c>
      <c r="G45" s="51" t="s">
        <v>669</v>
      </c>
      <c r="I45" s="422" t="s">
        <v>1835</v>
      </c>
      <c r="J45" s="418" t="s">
        <v>1572</v>
      </c>
      <c r="K45" s="419" t="s">
        <v>829</v>
      </c>
      <c r="Z45" s="373">
        <v>29</v>
      </c>
      <c r="AA45" s="278" t="s">
        <v>825</v>
      </c>
      <c r="AB45" s="373" t="s">
        <v>826</v>
      </c>
      <c r="AC45" s="373" t="s">
        <v>827</v>
      </c>
    </row>
    <row r="46" spans="3:29" ht="20">
      <c r="F46" s="176" t="s">
        <v>671</v>
      </c>
      <c r="G46" s="51" t="s">
        <v>672</v>
      </c>
      <c r="I46" s="413" t="s">
        <v>1836</v>
      </c>
      <c r="J46" s="418" t="s">
        <v>1584</v>
      </c>
      <c r="K46" s="419" t="s">
        <v>767</v>
      </c>
      <c r="Z46" s="373">
        <v>30</v>
      </c>
      <c r="AA46" s="373" t="s">
        <v>828</v>
      </c>
      <c r="AB46" s="373" t="s">
        <v>829</v>
      </c>
      <c r="AC46" s="373" t="s">
        <v>830</v>
      </c>
    </row>
    <row r="47" spans="3:29" ht="20">
      <c r="F47" s="176" t="s">
        <v>546</v>
      </c>
      <c r="G47" s="51" t="s">
        <v>646</v>
      </c>
      <c r="I47" s="413" t="s">
        <v>1837</v>
      </c>
      <c r="J47" s="418" t="s">
        <v>1592</v>
      </c>
      <c r="K47" s="419" t="s">
        <v>764</v>
      </c>
      <c r="Z47" s="373">
        <v>31</v>
      </c>
      <c r="AA47" s="373" t="s">
        <v>831</v>
      </c>
      <c r="AB47" s="373" t="s">
        <v>832</v>
      </c>
      <c r="AC47" s="373" t="s">
        <v>833</v>
      </c>
    </row>
    <row r="48" spans="3:29" ht="20">
      <c r="F48" s="50" t="s">
        <v>706</v>
      </c>
      <c r="G48" s="51" t="s">
        <v>699</v>
      </c>
      <c r="I48" s="413" t="s">
        <v>1838</v>
      </c>
      <c r="J48" s="418" t="s">
        <v>1839</v>
      </c>
      <c r="K48" s="419" t="s">
        <v>806</v>
      </c>
      <c r="V48" s="51"/>
      <c r="Z48" s="373">
        <v>32</v>
      </c>
      <c r="AA48" s="278" t="s">
        <v>834</v>
      </c>
      <c r="AB48" s="373" t="s">
        <v>767</v>
      </c>
      <c r="AC48" s="373" t="s">
        <v>835</v>
      </c>
    </row>
    <row r="49" spans="6:29" ht="20">
      <c r="F49" s="176" t="s">
        <v>673</v>
      </c>
      <c r="G49" s="51" t="s">
        <v>674</v>
      </c>
      <c r="I49" s="422" t="s">
        <v>548</v>
      </c>
      <c r="J49" s="418" t="s">
        <v>1662</v>
      </c>
      <c r="K49" s="419" t="s">
        <v>785</v>
      </c>
      <c r="V49" s="51"/>
      <c r="Z49" s="373">
        <v>33</v>
      </c>
      <c r="AA49" s="373" t="s">
        <v>836</v>
      </c>
      <c r="AB49" s="373" t="s">
        <v>758</v>
      </c>
      <c r="AC49" s="373" t="s">
        <v>837</v>
      </c>
    </row>
    <row r="50" spans="6:29" ht="20">
      <c r="F50" s="176" t="s">
        <v>707</v>
      </c>
      <c r="G50" s="51" t="s">
        <v>655</v>
      </c>
      <c r="I50" s="413" t="s">
        <v>1840</v>
      </c>
      <c r="J50" s="418" t="s">
        <v>1685</v>
      </c>
      <c r="K50" s="419" t="s">
        <v>498</v>
      </c>
      <c r="V50" s="51"/>
      <c r="Z50" s="373">
        <v>34</v>
      </c>
      <c r="AA50" s="278" t="s">
        <v>838</v>
      </c>
      <c r="AB50" s="373" t="s">
        <v>758</v>
      </c>
      <c r="AC50" s="373" t="s">
        <v>839</v>
      </c>
    </row>
    <row r="51" spans="6:29" ht="20">
      <c r="F51" s="176" t="s">
        <v>675</v>
      </c>
      <c r="G51" s="51" t="s">
        <v>665</v>
      </c>
      <c r="I51" s="413" t="s">
        <v>1841</v>
      </c>
      <c r="J51" s="418" t="s">
        <v>1642</v>
      </c>
      <c r="K51" s="419" t="s">
        <v>829</v>
      </c>
      <c r="V51" s="51"/>
      <c r="Z51" s="373">
        <v>35</v>
      </c>
      <c r="AA51" s="373" t="s">
        <v>840</v>
      </c>
      <c r="AB51" s="373" t="s">
        <v>776</v>
      </c>
      <c r="AC51" s="373" t="s">
        <v>841</v>
      </c>
    </row>
    <row r="52" spans="6:29" ht="20">
      <c r="F52" s="176" t="s">
        <v>676</v>
      </c>
      <c r="G52" s="51" t="s">
        <v>661</v>
      </c>
      <c r="I52" s="413" t="s">
        <v>1842</v>
      </c>
      <c r="J52" s="418" t="s">
        <v>1714</v>
      </c>
      <c r="K52" s="419" t="s">
        <v>801</v>
      </c>
      <c r="V52" s="51"/>
      <c r="Z52" s="373">
        <v>36</v>
      </c>
      <c r="AA52" s="373" t="s">
        <v>842</v>
      </c>
      <c r="AB52" s="373" t="s">
        <v>764</v>
      </c>
      <c r="AC52" s="373" t="s">
        <v>843</v>
      </c>
    </row>
    <row r="53" spans="6:29" ht="20">
      <c r="F53" s="176" t="s">
        <v>145</v>
      </c>
      <c r="G53" s="51" t="s">
        <v>652</v>
      </c>
      <c r="I53" s="422" t="s">
        <v>1843</v>
      </c>
      <c r="J53" s="418" t="s">
        <v>1728</v>
      </c>
      <c r="K53" s="419" t="s">
        <v>801</v>
      </c>
      <c r="V53" s="51"/>
      <c r="Z53" s="373">
        <v>37</v>
      </c>
      <c r="AA53" s="278" t="s">
        <v>844</v>
      </c>
      <c r="AB53" s="373" t="s">
        <v>498</v>
      </c>
      <c r="AC53" s="373" t="s">
        <v>845</v>
      </c>
    </row>
    <row r="54" spans="6:29" ht="20">
      <c r="F54" s="176" t="s">
        <v>677</v>
      </c>
      <c r="G54" s="51" t="s">
        <v>652</v>
      </c>
      <c r="I54" s="458" t="s">
        <v>1844</v>
      </c>
      <c r="J54" s="418" t="s">
        <v>1732</v>
      </c>
      <c r="K54" s="419" t="s">
        <v>788</v>
      </c>
      <c r="V54" s="51"/>
      <c r="Z54" s="373">
        <v>38</v>
      </c>
      <c r="AA54" s="278" t="s">
        <v>846</v>
      </c>
      <c r="AB54" s="373" t="s">
        <v>829</v>
      </c>
      <c r="AC54" s="373" t="s">
        <v>847</v>
      </c>
    </row>
    <row r="55" spans="6:29" ht="20">
      <c r="F55" s="50" t="s">
        <v>678</v>
      </c>
      <c r="G55" s="51" t="s">
        <v>679</v>
      </c>
      <c r="I55" s="414" t="s">
        <v>1845</v>
      </c>
      <c r="J55" s="420" t="s">
        <v>1759</v>
      </c>
      <c r="K55" s="421" t="s">
        <v>498</v>
      </c>
      <c r="V55" s="54"/>
      <c r="Z55" s="373">
        <v>39</v>
      </c>
      <c r="AA55" s="373" t="s">
        <v>848</v>
      </c>
      <c r="AB55" s="373" t="s">
        <v>758</v>
      </c>
      <c r="AC55" s="373" t="s">
        <v>849</v>
      </c>
    </row>
    <row r="56" spans="6:29" ht="20">
      <c r="F56" s="52" t="s">
        <v>680</v>
      </c>
      <c r="G56" s="54" t="s">
        <v>681</v>
      </c>
      <c r="Z56" s="373">
        <v>40</v>
      </c>
      <c r="AA56" s="373" t="s">
        <v>850</v>
      </c>
      <c r="AB56" s="373" t="s">
        <v>776</v>
      </c>
      <c r="AC56" s="373" t="s">
        <v>851</v>
      </c>
    </row>
    <row r="57" spans="6:29" ht="20">
      <c r="Z57" s="373">
        <v>41</v>
      </c>
      <c r="AA57" s="278" t="s">
        <v>852</v>
      </c>
      <c r="AB57" s="373" t="s">
        <v>829</v>
      </c>
      <c r="AC57" s="373" t="s">
        <v>853</v>
      </c>
    </row>
    <row r="58" spans="6:29" ht="20">
      <c r="Z58" s="373">
        <v>42</v>
      </c>
      <c r="AA58" s="278" t="s">
        <v>854</v>
      </c>
      <c r="AB58" s="373" t="s">
        <v>764</v>
      </c>
      <c r="AC58" s="373" t="s">
        <v>855</v>
      </c>
    </row>
    <row r="59" spans="6:29" ht="20">
      <c r="Z59" s="373">
        <v>43</v>
      </c>
      <c r="AA59" s="278" t="s">
        <v>856</v>
      </c>
      <c r="AB59" s="373" t="s">
        <v>832</v>
      </c>
      <c r="AC59" s="373" t="s">
        <v>857</v>
      </c>
    </row>
    <row r="60" spans="6:29" ht="20">
      <c r="Z60" s="373">
        <v>44</v>
      </c>
      <c r="AA60" s="278" t="s">
        <v>858</v>
      </c>
      <c r="AB60" s="373" t="s">
        <v>498</v>
      </c>
      <c r="AC60" s="373" t="s">
        <v>859</v>
      </c>
    </row>
    <row r="61" spans="6:29" ht="20">
      <c r="Z61" s="373">
        <v>45</v>
      </c>
      <c r="AA61" s="278" t="s">
        <v>860</v>
      </c>
      <c r="AB61" s="373" t="s">
        <v>498</v>
      </c>
      <c r="AC61" s="373" t="s">
        <v>861</v>
      </c>
    </row>
    <row r="62" spans="6:29" ht="20">
      <c r="Z62" s="373">
        <v>46</v>
      </c>
      <c r="AA62" s="373" t="s">
        <v>862</v>
      </c>
      <c r="AB62" s="373" t="s">
        <v>764</v>
      </c>
      <c r="AC62" s="373" t="s">
        <v>863</v>
      </c>
    </row>
    <row r="63" spans="6:29" ht="20">
      <c r="Z63" s="373">
        <v>47</v>
      </c>
      <c r="AA63" s="373" t="s">
        <v>864</v>
      </c>
      <c r="AB63" s="373" t="s">
        <v>776</v>
      </c>
      <c r="AC63" s="373" t="s">
        <v>865</v>
      </c>
    </row>
    <row r="64" spans="6:29" ht="20">
      <c r="Z64" s="373">
        <v>48</v>
      </c>
      <c r="AA64" s="278" t="s">
        <v>866</v>
      </c>
      <c r="AB64" s="373" t="s">
        <v>498</v>
      </c>
      <c r="AC64" s="373" t="s">
        <v>867</v>
      </c>
    </row>
    <row r="65" spans="13:29" ht="20">
      <c r="Z65" s="373">
        <v>49</v>
      </c>
      <c r="AA65" s="373" t="s">
        <v>868</v>
      </c>
      <c r="AB65" s="373" t="s">
        <v>801</v>
      </c>
      <c r="AC65" s="373" t="s">
        <v>869</v>
      </c>
    </row>
    <row r="66" spans="13:29" ht="20">
      <c r="Z66" s="373">
        <v>50</v>
      </c>
      <c r="AA66" s="278" t="s">
        <v>870</v>
      </c>
      <c r="AB66" s="373" t="s">
        <v>806</v>
      </c>
      <c r="AC66" s="373" t="s">
        <v>871</v>
      </c>
    </row>
    <row r="67" spans="13:29" ht="20">
      <c r="Z67" s="373">
        <v>51</v>
      </c>
      <c r="AA67" s="373" t="s">
        <v>872</v>
      </c>
      <c r="AB67" s="373" t="s">
        <v>758</v>
      </c>
      <c r="AC67" s="373" t="s">
        <v>873</v>
      </c>
    </row>
    <row r="68" spans="13:29" ht="20">
      <c r="Z68" s="373">
        <v>52</v>
      </c>
      <c r="AA68" s="373" t="s">
        <v>874</v>
      </c>
      <c r="AB68" s="373" t="s">
        <v>764</v>
      </c>
      <c r="AC68" s="373" t="s">
        <v>875</v>
      </c>
    </row>
    <row r="69" spans="13:29" ht="20">
      <c r="Z69" s="373">
        <v>53</v>
      </c>
      <c r="AA69" s="373" t="s">
        <v>876</v>
      </c>
      <c r="AB69" s="373" t="s">
        <v>806</v>
      </c>
      <c r="AC69" s="373" t="s">
        <v>877</v>
      </c>
    </row>
    <row r="70" spans="13:29" ht="20">
      <c r="Z70" s="373">
        <v>54</v>
      </c>
      <c r="AA70" s="373" t="s">
        <v>878</v>
      </c>
      <c r="AB70" s="373" t="s">
        <v>758</v>
      </c>
      <c r="AC70" s="373" t="s">
        <v>879</v>
      </c>
    </row>
    <row r="71" spans="13:29" ht="20">
      <c r="Z71" s="373">
        <v>55</v>
      </c>
      <c r="AA71" s="373" t="s">
        <v>880</v>
      </c>
      <c r="AB71" s="373" t="s">
        <v>829</v>
      </c>
      <c r="AC71" s="373" t="s">
        <v>881</v>
      </c>
    </row>
    <row r="72" spans="13:29" ht="20">
      <c r="M72" s="50"/>
      <c r="O72" s="51"/>
      <c r="Z72" s="373">
        <v>56</v>
      </c>
      <c r="AA72" s="373" t="s">
        <v>882</v>
      </c>
      <c r="AB72" s="373" t="s">
        <v>758</v>
      </c>
      <c r="AC72" s="373" t="s">
        <v>883</v>
      </c>
    </row>
    <row r="73" spans="13:29" ht="20">
      <c r="M73" s="50"/>
      <c r="O73" s="51"/>
      <c r="Z73" s="373">
        <v>57</v>
      </c>
      <c r="AA73" s="373" t="s">
        <v>884</v>
      </c>
      <c r="AB73" s="373" t="s">
        <v>758</v>
      </c>
      <c r="AC73" s="373" t="s">
        <v>885</v>
      </c>
    </row>
    <row r="74" spans="13:29" ht="20">
      <c r="M74" s="52"/>
      <c r="N74" s="53"/>
      <c r="O74" s="54"/>
      <c r="Z74" s="373">
        <v>58</v>
      </c>
      <c r="AA74" s="373" t="s">
        <v>886</v>
      </c>
      <c r="AB74" s="373" t="s">
        <v>758</v>
      </c>
      <c r="AC74" s="373" t="s">
        <v>887</v>
      </c>
    </row>
    <row r="75" spans="13:29" ht="20">
      <c r="Z75" s="373">
        <v>59</v>
      </c>
      <c r="AA75" s="373" t="s">
        <v>888</v>
      </c>
      <c r="AB75" s="373" t="s">
        <v>776</v>
      </c>
      <c r="AC75" s="373" t="s">
        <v>889</v>
      </c>
    </row>
    <row r="76" spans="13:29" ht="20">
      <c r="Z76" s="373">
        <v>60</v>
      </c>
      <c r="AA76" s="373" t="s">
        <v>890</v>
      </c>
      <c r="AB76" s="373" t="s">
        <v>829</v>
      </c>
      <c r="AC76" s="373" t="s">
        <v>891</v>
      </c>
    </row>
    <row r="77" spans="13:29" ht="20">
      <c r="Z77" s="373">
        <v>61</v>
      </c>
      <c r="AA77" s="373" t="s">
        <v>892</v>
      </c>
      <c r="AB77" s="373" t="s">
        <v>801</v>
      </c>
      <c r="AC77" s="373" t="s">
        <v>893</v>
      </c>
    </row>
    <row r="78" spans="13:29" ht="20">
      <c r="Z78" s="373">
        <v>62</v>
      </c>
      <c r="AA78" s="373" t="s">
        <v>894</v>
      </c>
      <c r="AB78" s="373" t="s">
        <v>758</v>
      </c>
      <c r="AC78" s="373" t="s">
        <v>895</v>
      </c>
    </row>
    <row r="79" spans="13:29" ht="20">
      <c r="Z79" s="373">
        <v>63</v>
      </c>
      <c r="AA79" s="373" t="s">
        <v>896</v>
      </c>
      <c r="AB79" s="373" t="s">
        <v>758</v>
      </c>
      <c r="AC79" s="373" t="s">
        <v>897</v>
      </c>
    </row>
    <row r="80" spans="13:29" ht="20">
      <c r="Z80" s="373">
        <v>64</v>
      </c>
      <c r="AA80" s="373" t="s">
        <v>898</v>
      </c>
      <c r="AB80" s="373" t="s">
        <v>758</v>
      </c>
      <c r="AC80" s="373" t="s">
        <v>899</v>
      </c>
    </row>
    <row r="81" spans="26:29" ht="20">
      <c r="Z81" s="373">
        <v>65</v>
      </c>
      <c r="AA81" s="373" t="s">
        <v>900</v>
      </c>
      <c r="AB81" s="373" t="s">
        <v>758</v>
      </c>
      <c r="AC81" s="373" t="s">
        <v>901</v>
      </c>
    </row>
    <row r="82" spans="26:29" ht="20">
      <c r="Z82" s="373">
        <v>66</v>
      </c>
      <c r="AA82" s="373" t="s">
        <v>902</v>
      </c>
      <c r="AB82" s="373" t="s">
        <v>832</v>
      </c>
      <c r="AC82" s="373" t="s">
        <v>903</v>
      </c>
    </row>
    <row r="83" spans="26:29" ht="20">
      <c r="Z83" s="373">
        <v>67</v>
      </c>
      <c r="AA83" s="373" t="s">
        <v>904</v>
      </c>
      <c r="AB83" s="373" t="s">
        <v>776</v>
      </c>
      <c r="AC83" s="373" t="s">
        <v>905</v>
      </c>
    </row>
    <row r="84" spans="26:29" ht="20">
      <c r="Z84" s="373">
        <v>68</v>
      </c>
      <c r="AA84" s="373" t="s">
        <v>906</v>
      </c>
      <c r="AB84" s="373" t="s">
        <v>832</v>
      </c>
      <c r="AC84" s="373" t="s">
        <v>907</v>
      </c>
    </row>
    <row r="85" spans="26:29" ht="20">
      <c r="Z85" s="373">
        <v>69</v>
      </c>
      <c r="AA85" s="373" t="s">
        <v>908</v>
      </c>
      <c r="AB85" s="373" t="s">
        <v>764</v>
      </c>
      <c r="AC85" s="373" t="s">
        <v>909</v>
      </c>
    </row>
    <row r="86" spans="26:29" ht="20">
      <c r="Z86" s="373">
        <v>70</v>
      </c>
      <c r="AA86" s="373" t="s">
        <v>910</v>
      </c>
      <c r="AB86" s="373" t="s">
        <v>764</v>
      </c>
      <c r="AC86" s="373" t="s">
        <v>911</v>
      </c>
    </row>
    <row r="87" spans="26:29" ht="20">
      <c r="Z87" s="373">
        <v>71</v>
      </c>
      <c r="AA87" s="373" t="s">
        <v>912</v>
      </c>
      <c r="AB87" s="373" t="s">
        <v>829</v>
      </c>
      <c r="AC87" s="373" t="s">
        <v>913</v>
      </c>
    </row>
    <row r="88" spans="26:29" ht="20">
      <c r="Z88" s="373">
        <v>72</v>
      </c>
      <c r="AA88" s="373" t="s">
        <v>914</v>
      </c>
      <c r="AB88" s="373" t="s">
        <v>764</v>
      </c>
      <c r="AC88" s="373" t="s">
        <v>915</v>
      </c>
    </row>
    <row r="89" spans="26:29" ht="20">
      <c r="Z89" s="373">
        <v>73</v>
      </c>
      <c r="AA89" s="373" t="s">
        <v>916</v>
      </c>
      <c r="AB89" s="373" t="s">
        <v>798</v>
      </c>
      <c r="AC89" s="373" t="s">
        <v>689</v>
      </c>
    </row>
    <row r="90" spans="26:29" ht="20">
      <c r="Z90" s="373">
        <v>74</v>
      </c>
      <c r="AA90" s="373" t="s">
        <v>917</v>
      </c>
      <c r="AB90" s="373" t="s">
        <v>918</v>
      </c>
      <c r="AC90" s="373" t="s">
        <v>919</v>
      </c>
    </row>
    <row r="91" spans="26:29" ht="20">
      <c r="Z91" s="373">
        <v>75</v>
      </c>
      <c r="AA91" s="373" t="s">
        <v>920</v>
      </c>
      <c r="AB91" s="373" t="s">
        <v>801</v>
      </c>
      <c r="AC91" s="373" t="s">
        <v>921</v>
      </c>
    </row>
    <row r="92" spans="26:29" ht="20">
      <c r="Z92" s="373">
        <v>76</v>
      </c>
      <c r="AA92" s="373" t="s">
        <v>922</v>
      </c>
      <c r="AB92" s="373" t="s">
        <v>498</v>
      </c>
      <c r="AC92" s="373" t="s">
        <v>923</v>
      </c>
    </row>
    <row r="93" spans="26:29" ht="20">
      <c r="Z93" s="373">
        <v>77</v>
      </c>
      <c r="AA93" s="373" t="s">
        <v>924</v>
      </c>
      <c r="AB93" s="373" t="s">
        <v>767</v>
      </c>
      <c r="AC93" s="373" t="s">
        <v>925</v>
      </c>
    </row>
    <row r="94" spans="26:29" ht="20">
      <c r="Z94" s="373">
        <v>78</v>
      </c>
      <c r="AA94" s="373" t="s">
        <v>926</v>
      </c>
      <c r="AB94" s="373" t="s">
        <v>813</v>
      </c>
      <c r="AC94" s="373" t="s">
        <v>927</v>
      </c>
    </row>
    <row r="95" spans="26:29" ht="20">
      <c r="Z95" s="373">
        <v>79</v>
      </c>
      <c r="AA95" s="373" t="s">
        <v>928</v>
      </c>
      <c r="AB95" s="373" t="s">
        <v>793</v>
      </c>
      <c r="AC95" s="373" t="s">
        <v>929</v>
      </c>
    </row>
    <row r="96" spans="26:29" ht="20">
      <c r="Z96" s="373">
        <v>80</v>
      </c>
      <c r="AA96" s="373" t="s">
        <v>930</v>
      </c>
      <c r="AB96" s="373" t="s">
        <v>832</v>
      </c>
      <c r="AC96" s="373" t="s">
        <v>931</v>
      </c>
    </row>
    <row r="97" spans="3:29" ht="20">
      <c r="Z97" s="373">
        <v>81</v>
      </c>
      <c r="AA97" s="373" t="s">
        <v>932</v>
      </c>
      <c r="AB97" s="373" t="s">
        <v>801</v>
      </c>
      <c r="AC97" s="373" t="s">
        <v>933</v>
      </c>
    </row>
    <row r="98" spans="3:29" ht="20">
      <c r="Z98" s="373">
        <v>82</v>
      </c>
      <c r="AA98" s="373" t="s">
        <v>934</v>
      </c>
      <c r="AB98" s="373" t="s">
        <v>764</v>
      </c>
      <c r="AC98" s="373" t="s">
        <v>935</v>
      </c>
    </row>
    <row r="99" spans="3:29" ht="24">
      <c r="C99" s="431" t="s">
        <v>1865</v>
      </c>
      <c r="D99" s="449" t="s">
        <v>1872</v>
      </c>
      <c r="E99" s="450" t="s">
        <v>1873</v>
      </c>
      <c r="F99" s="424"/>
      <c r="Z99" s="373">
        <v>83</v>
      </c>
      <c r="AA99" s="373" t="s">
        <v>936</v>
      </c>
      <c r="AB99" s="373" t="s">
        <v>829</v>
      </c>
      <c r="AC99" s="373" t="s">
        <v>937</v>
      </c>
    </row>
    <row r="100" spans="3:29" ht="24">
      <c r="C100" s="292" t="s">
        <v>1852</v>
      </c>
      <c r="D100" s="293">
        <v>20000</v>
      </c>
      <c r="E100" s="434">
        <v>10000</v>
      </c>
      <c r="F100" s="430">
        <v>100000</v>
      </c>
      <c r="Z100" s="373">
        <v>84</v>
      </c>
      <c r="AA100" s="373" t="s">
        <v>938</v>
      </c>
      <c r="AB100" s="373" t="s">
        <v>939</v>
      </c>
      <c r="AC100" s="373" t="s">
        <v>940</v>
      </c>
    </row>
    <row r="101" spans="3:29" ht="24">
      <c r="C101" s="292" t="s">
        <v>1853</v>
      </c>
      <c r="D101" s="293">
        <v>10000</v>
      </c>
      <c r="E101" s="434">
        <v>5000</v>
      </c>
      <c r="F101" s="293">
        <v>100000</v>
      </c>
      <c r="Z101" s="373">
        <v>85</v>
      </c>
      <c r="AA101" s="373" t="s">
        <v>941</v>
      </c>
      <c r="AB101" s="373" t="s">
        <v>801</v>
      </c>
      <c r="AC101" s="373" t="s">
        <v>942</v>
      </c>
    </row>
    <row r="102" spans="3:29" ht="24">
      <c r="C102" s="292" t="s">
        <v>1864</v>
      </c>
      <c r="D102" s="293">
        <v>10000</v>
      </c>
      <c r="E102" s="434">
        <v>10000</v>
      </c>
      <c r="F102" s="293">
        <v>100000</v>
      </c>
      <c r="Z102" s="373">
        <v>86</v>
      </c>
      <c r="AA102" s="373" t="s">
        <v>943</v>
      </c>
      <c r="AB102" s="373" t="s">
        <v>813</v>
      </c>
      <c r="AC102" s="373" t="s">
        <v>944</v>
      </c>
    </row>
    <row r="103" spans="3:29" ht="24">
      <c r="C103" s="292" t="s">
        <v>1854</v>
      </c>
      <c r="D103" s="293">
        <v>10000</v>
      </c>
      <c r="E103" s="434">
        <v>10000</v>
      </c>
      <c r="F103" s="293">
        <v>100000</v>
      </c>
      <c r="Z103" s="373">
        <v>87</v>
      </c>
      <c r="AA103" s="373" t="s">
        <v>945</v>
      </c>
      <c r="AB103" s="373" t="s">
        <v>801</v>
      </c>
      <c r="AC103" s="373" t="s">
        <v>946</v>
      </c>
    </row>
    <row r="104" spans="3:29" ht="24">
      <c r="C104" s="292" t="s">
        <v>1855</v>
      </c>
      <c r="D104" s="293">
        <v>10000</v>
      </c>
      <c r="E104" s="434">
        <v>5000</v>
      </c>
      <c r="F104" s="293">
        <v>500000</v>
      </c>
      <c r="Z104" s="373">
        <v>88</v>
      </c>
      <c r="AA104" s="373" t="s">
        <v>947</v>
      </c>
      <c r="AB104" s="373" t="s">
        <v>785</v>
      </c>
      <c r="AC104" s="373" t="s">
        <v>948</v>
      </c>
    </row>
    <row r="105" spans="3:29" ht="24">
      <c r="C105" s="292" t="s">
        <v>1857</v>
      </c>
      <c r="D105" s="293">
        <v>10000</v>
      </c>
      <c r="E105" s="434">
        <v>5000</v>
      </c>
      <c r="F105" s="293">
        <v>100000</v>
      </c>
      <c r="Z105" s="373">
        <v>89</v>
      </c>
      <c r="AA105" s="373" t="s">
        <v>949</v>
      </c>
      <c r="AB105" s="373" t="s">
        <v>764</v>
      </c>
      <c r="AC105" s="373" t="s">
        <v>950</v>
      </c>
    </row>
    <row r="106" spans="3:29" ht="24">
      <c r="C106" s="292" t="s">
        <v>1856</v>
      </c>
      <c r="D106" s="293">
        <v>10000</v>
      </c>
      <c r="E106" s="434">
        <v>5000</v>
      </c>
      <c r="F106" s="296">
        <v>300000</v>
      </c>
      <c r="Z106" s="373">
        <v>90</v>
      </c>
      <c r="AA106" s="373" t="s">
        <v>951</v>
      </c>
      <c r="AB106" s="373" t="s">
        <v>829</v>
      </c>
      <c r="AC106" s="373" t="s">
        <v>952</v>
      </c>
    </row>
    <row r="107" spans="3:29" ht="24">
      <c r="C107" s="292" t="s">
        <v>1862</v>
      </c>
      <c r="D107" s="293">
        <v>10000</v>
      </c>
      <c r="E107" s="434">
        <v>10000</v>
      </c>
      <c r="F107" s="293">
        <v>200000</v>
      </c>
      <c r="Z107" s="373">
        <v>91</v>
      </c>
      <c r="AA107" s="373" t="s">
        <v>953</v>
      </c>
      <c r="AB107" s="373" t="s">
        <v>758</v>
      </c>
      <c r="AC107" s="373" t="s">
        <v>954</v>
      </c>
    </row>
    <row r="108" spans="3:29" ht="24">
      <c r="C108" s="292" t="s">
        <v>1860</v>
      </c>
      <c r="D108" s="293">
        <v>45000</v>
      </c>
      <c r="E108" s="434">
        <v>35000</v>
      </c>
      <c r="F108" s="426" t="s">
        <v>1866</v>
      </c>
      <c r="Z108" s="373">
        <v>92</v>
      </c>
      <c r="AA108" s="373" t="s">
        <v>955</v>
      </c>
      <c r="AB108" s="373" t="s">
        <v>758</v>
      </c>
      <c r="AC108" s="373" t="s">
        <v>956</v>
      </c>
    </row>
    <row r="109" spans="3:29" ht="24">
      <c r="C109" s="292" t="s">
        <v>1861</v>
      </c>
      <c r="D109" s="293">
        <v>50000</v>
      </c>
      <c r="E109" s="434">
        <v>50000</v>
      </c>
      <c r="Z109" s="373">
        <v>93</v>
      </c>
      <c r="AA109" s="373" t="s">
        <v>957</v>
      </c>
      <c r="AB109" s="373" t="s">
        <v>832</v>
      </c>
      <c r="AC109" s="373" t="s">
        <v>958</v>
      </c>
    </row>
    <row r="110" spans="3:29" ht="24">
      <c r="C110" s="292" t="s">
        <v>1867</v>
      </c>
      <c r="D110" s="293">
        <v>10000</v>
      </c>
      <c r="E110" s="434">
        <v>5000</v>
      </c>
      <c r="Z110" s="373">
        <v>94</v>
      </c>
      <c r="AA110" s="373" t="s">
        <v>959</v>
      </c>
      <c r="AB110" s="373" t="s">
        <v>758</v>
      </c>
      <c r="AC110" s="373" t="s">
        <v>960</v>
      </c>
    </row>
    <row r="111" spans="3:29" ht="24">
      <c r="C111" s="292" t="s">
        <v>1892</v>
      </c>
      <c r="D111" s="293">
        <v>5000</v>
      </c>
      <c r="E111" s="434">
        <v>5000</v>
      </c>
      <c r="Z111" s="373">
        <v>95</v>
      </c>
      <c r="AA111" s="373" t="s">
        <v>961</v>
      </c>
      <c r="AB111" s="373" t="s">
        <v>758</v>
      </c>
      <c r="AC111" s="373" t="s">
        <v>962</v>
      </c>
    </row>
    <row r="112" spans="3:29" ht="24">
      <c r="C112" s="425" t="s">
        <v>34</v>
      </c>
      <c r="D112" s="426" t="s">
        <v>1863</v>
      </c>
      <c r="E112" s="435">
        <v>155000</v>
      </c>
      <c r="Z112" s="373">
        <v>96</v>
      </c>
      <c r="AA112" s="373" t="s">
        <v>963</v>
      </c>
      <c r="AB112" s="373" t="s">
        <v>498</v>
      </c>
      <c r="AC112" s="373" t="s">
        <v>964</v>
      </c>
    </row>
    <row r="113" spans="26:29" ht="20">
      <c r="Z113" s="373">
        <v>97</v>
      </c>
      <c r="AA113" s="373" t="s">
        <v>965</v>
      </c>
      <c r="AB113" s="373" t="s">
        <v>758</v>
      </c>
      <c r="AC113" s="373" t="s">
        <v>966</v>
      </c>
    </row>
    <row r="114" spans="26:29" ht="20">
      <c r="Z114" s="373">
        <v>98</v>
      </c>
      <c r="AA114" s="373" t="s">
        <v>967</v>
      </c>
      <c r="AB114" s="373" t="s">
        <v>764</v>
      </c>
      <c r="AC114" s="373" t="s">
        <v>968</v>
      </c>
    </row>
    <row r="115" spans="26:29" ht="20">
      <c r="Z115" s="373">
        <v>99</v>
      </c>
      <c r="AA115" s="373" t="s">
        <v>969</v>
      </c>
      <c r="AB115" s="373" t="s">
        <v>798</v>
      </c>
      <c r="AC115" s="373" t="s">
        <v>970</v>
      </c>
    </row>
    <row r="116" spans="26:29" ht="20">
      <c r="Z116" s="373">
        <v>100</v>
      </c>
      <c r="AA116" s="373" t="s">
        <v>971</v>
      </c>
      <c r="AB116" s="373" t="s">
        <v>829</v>
      </c>
      <c r="AC116" s="373" t="s">
        <v>972</v>
      </c>
    </row>
    <row r="117" spans="26:29" ht="20">
      <c r="Z117" s="373">
        <v>101</v>
      </c>
      <c r="AA117" s="373" t="s">
        <v>973</v>
      </c>
      <c r="AB117" s="373" t="s">
        <v>832</v>
      </c>
      <c r="AC117" s="373" t="s">
        <v>974</v>
      </c>
    </row>
    <row r="118" spans="26:29" ht="20">
      <c r="Z118" s="373">
        <v>102</v>
      </c>
      <c r="AA118" s="373" t="s">
        <v>975</v>
      </c>
      <c r="AB118" s="373" t="s">
        <v>758</v>
      </c>
      <c r="AC118" s="373" t="s">
        <v>976</v>
      </c>
    </row>
    <row r="119" spans="26:29" ht="20">
      <c r="Z119" s="373">
        <v>103</v>
      </c>
      <c r="AA119" s="373" t="s">
        <v>977</v>
      </c>
      <c r="AB119" s="373" t="s">
        <v>758</v>
      </c>
      <c r="AC119" s="373" t="s">
        <v>978</v>
      </c>
    </row>
    <row r="120" spans="26:29" ht="20">
      <c r="Z120" s="373">
        <v>104</v>
      </c>
      <c r="AA120" s="373" t="s">
        <v>979</v>
      </c>
      <c r="AB120" s="373" t="s">
        <v>832</v>
      </c>
      <c r="AC120" s="373" t="s">
        <v>980</v>
      </c>
    </row>
    <row r="121" spans="26:29" ht="20">
      <c r="Z121" s="373">
        <v>105</v>
      </c>
      <c r="AA121" s="373" t="s">
        <v>981</v>
      </c>
      <c r="AB121" s="373" t="s">
        <v>982</v>
      </c>
      <c r="AC121" s="373" t="s">
        <v>983</v>
      </c>
    </row>
    <row r="122" spans="26:29" ht="20">
      <c r="Z122" s="373">
        <v>106</v>
      </c>
      <c r="AA122" s="373" t="s">
        <v>984</v>
      </c>
      <c r="AB122" s="373" t="s">
        <v>832</v>
      </c>
      <c r="AC122" s="373" t="s">
        <v>985</v>
      </c>
    </row>
    <row r="123" spans="26:29" ht="20">
      <c r="Z123" s="373">
        <v>107</v>
      </c>
      <c r="AA123" s="373" t="s">
        <v>986</v>
      </c>
      <c r="AB123" s="373" t="s">
        <v>806</v>
      </c>
      <c r="AC123" s="373" t="s">
        <v>987</v>
      </c>
    </row>
    <row r="124" spans="26:29" ht="20">
      <c r="Z124" s="373">
        <v>108</v>
      </c>
      <c r="AA124" s="373" t="s">
        <v>988</v>
      </c>
      <c r="AB124" s="373" t="s">
        <v>776</v>
      </c>
      <c r="AC124" s="373" t="s">
        <v>989</v>
      </c>
    </row>
    <row r="125" spans="26:29" ht="20">
      <c r="Z125" s="373">
        <v>109</v>
      </c>
      <c r="AA125" s="373" t="s">
        <v>990</v>
      </c>
      <c r="AB125" s="373" t="s">
        <v>776</v>
      </c>
      <c r="AC125" s="373" t="s">
        <v>991</v>
      </c>
    </row>
    <row r="126" spans="26:29" ht="20">
      <c r="Z126" s="373">
        <v>110</v>
      </c>
      <c r="AA126" s="373" t="s">
        <v>992</v>
      </c>
      <c r="AB126" s="373" t="s">
        <v>798</v>
      </c>
      <c r="AC126" s="373" t="s">
        <v>993</v>
      </c>
    </row>
    <row r="127" spans="26:29" ht="20">
      <c r="Z127" s="373">
        <v>111</v>
      </c>
      <c r="AA127" s="373" t="s">
        <v>994</v>
      </c>
      <c r="AB127" s="373" t="s">
        <v>758</v>
      </c>
      <c r="AC127" s="373" t="s">
        <v>995</v>
      </c>
    </row>
    <row r="128" spans="26:29" ht="20">
      <c r="Z128" s="373">
        <v>112</v>
      </c>
      <c r="AA128" s="373" t="s">
        <v>996</v>
      </c>
      <c r="AB128" s="373" t="s">
        <v>758</v>
      </c>
      <c r="AC128" s="373" t="s">
        <v>997</v>
      </c>
    </row>
    <row r="129" spans="26:29" ht="20">
      <c r="Z129" s="373">
        <v>113</v>
      </c>
      <c r="AA129" s="373" t="s">
        <v>998</v>
      </c>
      <c r="AB129" s="373" t="s">
        <v>498</v>
      </c>
      <c r="AC129" s="373" t="s">
        <v>690</v>
      </c>
    </row>
    <row r="130" spans="26:29" ht="20">
      <c r="Z130" s="373">
        <v>114</v>
      </c>
      <c r="AA130" s="373" t="s">
        <v>999</v>
      </c>
      <c r="AB130" s="373" t="s">
        <v>758</v>
      </c>
      <c r="AC130" s="373" t="s">
        <v>1000</v>
      </c>
    </row>
    <row r="131" spans="26:29" ht="20">
      <c r="Z131" s="373">
        <v>115</v>
      </c>
      <c r="AA131" s="373" t="s">
        <v>1001</v>
      </c>
      <c r="AB131" s="373" t="s">
        <v>776</v>
      </c>
      <c r="AC131" s="373" t="s">
        <v>1002</v>
      </c>
    </row>
    <row r="132" spans="26:29" ht="20">
      <c r="Z132" s="373">
        <v>116</v>
      </c>
      <c r="AA132" s="373" t="s">
        <v>1003</v>
      </c>
      <c r="AB132" s="373" t="s">
        <v>798</v>
      </c>
      <c r="AC132" s="373" t="s">
        <v>1004</v>
      </c>
    </row>
    <row r="133" spans="26:29" ht="20">
      <c r="Z133" s="373">
        <v>117</v>
      </c>
      <c r="AA133" s="373" t="s">
        <v>1005</v>
      </c>
      <c r="AB133" s="373" t="s">
        <v>764</v>
      </c>
      <c r="AC133" s="373" t="s">
        <v>1006</v>
      </c>
    </row>
    <row r="134" spans="26:29" ht="20">
      <c r="Z134" s="373">
        <v>118</v>
      </c>
      <c r="AA134" s="373" t="s">
        <v>1007</v>
      </c>
      <c r="AB134" s="373" t="s">
        <v>813</v>
      </c>
      <c r="AC134" s="373" t="s">
        <v>1008</v>
      </c>
    </row>
    <row r="135" spans="26:29" ht="20">
      <c r="Z135" s="373">
        <v>119</v>
      </c>
      <c r="AA135" s="373" t="s">
        <v>1009</v>
      </c>
      <c r="AB135" s="373" t="s">
        <v>801</v>
      </c>
      <c r="AC135" s="373" t="s">
        <v>1010</v>
      </c>
    </row>
    <row r="136" spans="26:29" ht="20">
      <c r="Z136" s="373">
        <v>120</v>
      </c>
      <c r="AA136" s="373" t="s">
        <v>1011</v>
      </c>
      <c r="AB136" s="373" t="s">
        <v>758</v>
      </c>
      <c r="AC136" s="373" t="s">
        <v>1012</v>
      </c>
    </row>
    <row r="137" spans="26:29" ht="20">
      <c r="Z137" s="373">
        <v>121</v>
      </c>
      <c r="AA137" s="373" t="s">
        <v>1013</v>
      </c>
      <c r="AB137" s="373" t="s">
        <v>498</v>
      </c>
      <c r="AC137" s="373" t="s">
        <v>1014</v>
      </c>
    </row>
    <row r="138" spans="26:29" ht="20">
      <c r="Z138" s="373">
        <v>122</v>
      </c>
      <c r="AA138" s="373" t="s">
        <v>1015</v>
      </c>
      <c r="AB138" s="373" t="s">
        <v>793</v>
      </c>
      <c r="AC138" s="373" t="s">
        <v>1016</v>
      </c>
    </row>
    <row r="139" spans="26:29" ht="20">
      <c r="Z139" s="373">
        <v>123</v>
      </c>
      <c r="AA139" s="373" t="s">
        <v>1017</v>
      </c>
      <c r="AB139" s="373" t="s">
        <v>776</v>
      </c>
      <c r="AC139" s="373" t="s">
        <v>1018</v>
      </c>
    </row>
    <row r="140" spans="26:29" ht="20">
      <c r="Z140" s="373">
        <v>124</v>
      </c>
      <c r="AA140" s="373" t="s">
        <v>1019</v>
      </c>
      <c r="AB140" s="373" t="s">
        <v>829</v>
      </c>
      <c r="AC140" s="373" t="s">
        <v>1020</v>
      </c>
    </row>
    <row r="141" spans="26:29" ht="20">
      <c r="Z141" s="373">
        <v>125</v>
      </c>
      <c r="AA141" s="373" t="s">
        <v>1021</v>
      </c>
      <c r="AB141" s="373" t="s">
        <v>758</v>
      </c>
      <c r="AC141" s="373" t="s">
        <v>1022</v>
      </c>
    </row>
    <row r="142" spans="26:29" ht="20">
      <c r="Z142" s="373">
        <v>126</v>
      </c>
      <c r="AA142" s="373" t="s">
        <v>1023</v>
      </c>
      <c r="AB142" s="373" t="s">
        <v>832</v>
      </c>
      <c r="AC142" s="373" t="s">
        <v>1024</v>
      </c>
    </row>
    <row r="143" spans="26:29" ht="20">
      <c r="Z143" s="373">
        <v>127</v>
      </c>
      <c r="AA143" s="373" t="s">
        <v>1025</v>
      </c>
      <c r="AB143" s="373" t="s">
        <v>764</v>
      </c>
      <c r="AC143" s="373" t="s">
        <v>1026</v>
      </c>
    </row>
    <row r="144" spans="26:29" ht="20">
      <c r="Z144" s="373">
        <v>128</v>
      </c>
      <c r="AA144" s="373" t="s">
        <v>1027</v>
      </c>
      <c r="AB144" s="373" t="s">
        <v>813</v>
      </c>
      <c r="AC144" s="373" t="s">
        <v>1028</v>
      </c>
    </row>
    <row r="145" spans="26:29" ht="20">
      <c r="Z145" s="373">
        <v>129</v>
      </c>
      <c r="AA145" s="373" t="s">
        <v>1029</v>
      </c>
      <c r="AB145" s="373" t="s">
        <v>761</v>
      </c>
      <c r="AC145" s="373" t="s">
        <v>1030</v>
      </c>
    </row>
    <row r="146" spans="26:29" ht="20">
      <c r="Z146" s="373">
        <v>130</v>
      </c>
      <c r="AA146" s="373" t="s">
        <v>1031</v>
      </c>
      <c r="AB146" s="373" t="s">
        <v>939</v>
      </c>
      <c r="AC146" s="373" t="s">
        <v>1032</v>
      </c>
    </row>
    <row r="147" spans="26:29" ht="20">
      <c r="Z147" s="373">
        <v>131</v>
      </c>
      <c r="AA147" s="373" t="s">
        <v>1033</v>
      </c>
      <c r="AB147" s="373" t="s">
        <v>801</v>
      </c>
      <c r="AC147" s="373" t="s">
        <v>1034</v>
      </c>
    </row>
    <row r="148" spans="26:29" ht="20">
      <c r="Z148" s="373">
        <v>132</v>
      </c>
      <c r="AA148" s="373" t="s">
        <v>1035</v>
      </c>
      <c r="AB148" s="373" t="s">
        <v>801</v>
      </c>
      <c r="AC148" s="373" t="s">
        <v>1036</v>
      </c>
    </row>
    <row r="149" spans="26:29" ht="20">
      <c r="Z149" s="373">
        <v>133</v>
      </c>
      <c r="AA149" s="373" t="s">
        <v>1037</v>
      </c>
      <c r="AB149" s="373" t="s">
        <v>767</v>
      </c>
      <c r="AC149" s="373" t="s">
        <v>1038</v>
      </c>
    </row>
    <row r="150" spans="26:29" ht="20">
      <c r="Z150" s="373">
        <v>134</v>
      </c>
      <c r="AA150" s="373" t="s">
        <v>1039</v>
      </c>
      <c r="AB150" s="373" t="s">
        <v>764</v>
      </c>
      <c r="AC150" s="373" t="s">
        <v>1040</v>
      </c>
    </row>
    <row r="151" spans="26:29" ht="20">
      <c r="Z151" s="373">
        <v>135</v>
      </c>
      <c r="AA151" s="373" t="s">
        <v>1041</v>
      </c>
      <c r="AB151" s="373" t="s">
        <v>776</v>
      </c>
      <c r="AC151" s="373" t="s">
        <v>1042</v>
      </c>
    </row>
    <row r="152" spans="26:29" ht="20">
      <c r="Z152" s="373">
        <v>136</v>
      </c>
      <c r="AA152" s="373" t="s">
        <v>1043</v>
      </c>
      <c r="AB152" s="373" t="s">
        <v>776</v>
      </c>
      <c r="AC152" s="373" t="s">
        <v>1044</v>
      </c>
    </row>
    <row r="153" spans="26:29" ht="20">
      <c r="Z153" s="373">
        <v>137</v>
      </c>
      <c r="AA153" s="373" t="s">
        <v>1045</v>
      </c>
      <c r="AB153" s="373" t="s">
        <v>793</v>
      </c>
      <c r="AC153" s="373" t="s">
        <v>1046</v>
      </c>
    </row>
    <row r="154" spans="26:29" ht="20">
      <c r="Z154" s="373">
        <v>138</v>
      </c>
      <c r="AA154" s="373" t="s">
        <v>1047</v>
      </c>
      <c r="AB154" s="373" t="s">
        <v>806</v>
      </c>
      <c r="AC154" s="373" t="s">
        <v>1048</v>
      </c>
    </row>
    <row r="155" spans="26:29" ht="20">
      <c r="Z155" s="373">
        <v>139</v>
      </c>
      <c r="AA155" s="373" t="s">
        <v>1049</v>
      </c>
      <c r="AB155" s="373" t="s">
        <v>498</v>
      </c>
      <c r="AC155" s="373" t="s">
        <v>1050</v>
      </c>
    </row>
    <row r="156" spans="26:29" ht="20">
      <c r="Z156" s="373">
        <v>140</v>
      </c>
      <c r="AA156" s="373" t="s">
        <v>1051</v>
      </c>
      <c r="AB156" s="373" t="s">
        <v>832</v>
      </c>
      <c r="AC156" s="373" t="s">
        <v>1052</v>
      </c>
    </row>
    <row r="157" spans="26:29" ht="20">
      <c r="Z157" s="373">
        <v>141</v>
      </c>
      <c r="AA157" s="373" t="s">
        <v>1053</v>
      </c>
      <c r="AB157" s="373" t="s">
        <v>498</v>
      </c>
      <c r="AC157" s="373" t="s">
        <v>1054</v>
      </c>
    </row>
    <row r="158" spans="26:29" ht="20">
      <c r="Z158" s="373">
        <v>142</v>
      </c>
      <c r="AA158" s="373" t="s">
        <v>1055</v>
      </c>
      <c r="AB158" s="373" t="s">
        <v>498</v>
      </c>
      <c r="AC158" s="373" t="s">
        <v>1056</v>
      </c>
    </row>
    <row r="159" spans="26:29" ht="20">
      <c r="Z159" s="373">
        <v>143</v>
      </c>
      <c r="AA159" s="373" t="s">
        <v>1057</v>
      </c>
      <c r="AB159" s="373" t="s">
        <v>776</v>
      </c>
      <c r="AC159" s="373" t="s">
        <v>1058</v>
      </c>
    </row>
    <row r="160" spans="26:29" ht="20">
      <c r="Z160" s="373">
        <v>144</v>
      </c>
      <c r="AA160" s="373" t="s">
        <v>1059</v>
      </c>
      <c r="AB160" s="373" t="s">
        <v>806</v>
      </c>
      <c r="AC160" s="373" t="s">
        <v>1060</v>
      </c>
    </row>
    <row r="161" spans="26:29" ht="20">
      <c r="Z161" s="373">
        <v>145</v>
      </c>
      <c r="AA161" s="373" t="s">
        <v>1061</v>
      </c>
      <c r="AB161" s="373" t="s">
        <v>764</v>
      </c>
      <c r="AC161" s="373" t="s">
        <v>1062</v>
      </c>
    </row>
    <row r="162" spans="26:29" ht="20">
      <c r="Z162" s="373">
        <v>146</v>
      </c>
      <c r="AA162" s="373" t="s">
        <v>1063</v>
      </c>
      <c r="AB162" s="373" t="s">
        <v>806</v>
      </c>
      <c r="AC162" s="373" t="s">
        <v>1064</v>
      </c>
    </row>
    <row r="163" spans="26:29" ht="20">
      <c r="Z163" s="373">
        <v>147</v>
      </c>
      <c r="AA163" s="373" t="s">
        <v>1065</v>
      </c>
      <c r="AB163" s="373" t="s">
        <v>829</v>
      </c>
      <c r="AC163" s="373" t="s">
        <v>1066</v>
      </c>
    </row>
    <row r="164" spans="26:29" ht="20">
      <c r="Z164" s="373">
        <v>148</v>
      </c>
      <c r="AA164" s="373" t="s">
        <v>1067</v>
      </c>
      <c r="AB164" s="373" t="s">
        <v>764</v>
      </c>
      <c r="AC164" s="373" t="s">
        <v>1068</v>
      </c>
    </row>
    <row r="165" spans="26:29" ht="20">
      <c r="Z165" s="373">
        <v>149</v>
      </c>
      <c r="AA165" s="373" t="s">
        <v>1069</v>
      </c>
      <c r="AB165" s="373" t="s">
        <v>764</v>
      </c>
      <c r="AC165" s="373" t="s">
        <v>1070</v>
      </c>
    </row>
    <row r="166" spans="26:29" ht="20">
      <c r="Z166" s="373">
        <v>150</v>
      </c>
      <c r="AA166" s="373" t="s">
        <v>1071</v>
      </c>
      <c r="AB166" s="373" t="s">
        <v>801</v>
      </c>
      <c r="AC166" s="373" t="s">
        <v>1072</v>
      </c>
    </row>
    <row r="167" spans="26:29" ht="20">
      <c r="Z167" s="373">
        <v>151</v>
      </c>
      <c r="AA167" s="373" t="s">
        <v>1073</v>
      </c>
      <c r="AB167" s="373" t="s">
        <v>829</v>
      </c>
      <c r="AC167" s="373" t="s">
        <v>1074</v>
      </c>
    </row>
    <row r="168" spans="26:29" ht="20">
      <c r="Z168" s="373">
        <v>152</v>
      </c>
      <c r="AA168" s="373" t="s">
        <v>1075</v>
      </c>
      <c r="AB168" s="373" t="s">
        <v>1076</v>
      </c>
      <c r="AC168" s="373" t="s">
        <v>1077</v>
      </c>
    </row>
    <row r="169" spans="26:29" ht="20">
      <c r="Z169" s="373">
        <v>153</v>
      </c>
      <c r="AA169" s="373" t="s">
        <v>1078</v>
      </c>
      <c r="AB169" s="373" t="s">
        <v>758</v>
      </c>
      <c r="AC169" s="373" t="s">
        <v>1079</v>
      </c>
    </row>
    <row r="170" spans="26:29" ht="20">
      <c r="Z170" s="373">
        <v>154</v>
      </c>
      <c r="AA170" s="373" t="s">
        <v>1080</v>
      </c>
      <c r="AB170" s="373" t="s">
        <v>498</v>
      </c>
      <c r="AC170" s="373" t="s">
        <v>1081</v>
      </c>
    </row>
    <row r="171" spans="26:29" ht="20">
      <c r="Z171" s="373">
        <v>155</v>
      </c>
      <c r="AA171" s="373" t="s">
        <v>1082</v>
      </c>
      <c r="AB171" s="373" t="s">
        <v>764</v>
      </c>
      <c r="AC171" s="373" t="s">
        <v>1083</v>
      </c>
    </row>
    <row r="172" spans="26:29" ht="20">
      <c r="Z172" s="373">
        <v>156</v>
      </c>
      <c r="AA172" s="373" t="s">
        <v>1084</v>
      </c>
      <c r="AB172" s="373" t="s">
        <v>829</v>
      </c>
      <c r="AC172" s="373" t="s">
        <v>1085</v>
      </c>
    </row>
    <row r="173" spans="26:29" ht="20">
      <c r="Z173" s="373">
        <v>157</v>
      </c>
      <c r="AA173" s="373" t="s">
        <v>1086</v>
      </c>
      <c r="AB173" s="373" t="s">
        <v>498</v>
      </c>
      <c r="AC173" s="373" t="s">
        <v>1087</v>
      </c>
    </row>
    <row r="174" spans="26:29" ht="20">
      <c r="Z174" s="373">
        <v>158</v>
      </c>
      <c r="AA174" s="373" t="s">
        <v>1088</v>
      </c>
      <c r="AB174" s="373" t="s">
        <v>806</v>
      </c>
      <c r="AC174" s="373" t="s">
        <v>1089</v>
      </c>
    </row>
    <row r="175" spans="26:29" ht="20">
      <c r="Z175" s="373">
        <v>159</v>
      </c>
      <c r="AA175" s="373" t="s">
        <v>1090</v>
      </c>
      <c r="AB175" s="373" t="s">
        <v>758</v>
      </c>
      <c r="AC175" s="373" t="s">
        <v>1091</v>
      </c>
    </row>
    <row r="176" spans="26:29" ht="20">
      <c r="Z176" s="373">
        <v>160</v>
      </c>
      <c r="AA176" s="373" t="s">
        <v>1092</v>
      </c>
      <c r="AB176" s="373" t="s">
        <v>776</v>
      </c>
      <c r="AC176" s="373" t="s">
        <v>1093</v>
      </c>
    </row>
    <row r="177" spans="26:29" ht="20">
      <c r="Z177" s="373">
        <v>161</v>
      </c>
      <c r="AA177" s="373" t="s">
        <v>1094</v>
      </c>
      <c r="AB177" s="373" t="s">
        <v>776</v>
      </c>
      <c r="AC177" s="373" t="s">
        <v>1095</v>
      </c>
    </row>
    <row r="178" spans="26:29" ht="20">
      <c r="Z178" s="373">
        <v>162</v>
      </c>
      <c r="AA178" s="373" t="s">
        <v>1096</v>
      </c>
      <c r="AB178" s="373" t="s">
        <v>764</v>
      </c>
      <c r="AC178" s="373" t="s">
        <v>1097</v>
      </c>
    </row>
    <row r="179" spans="26:29" ht="20">
      <c r="Z179" s="373">
        <v>163</v>
      </c>
      <c r="AA179" s="373" t="s">
        <v>1098</v>
      </c>
      <c r="AB179" s="373" t="s">
        <v>764</v>
      </c>
      <c r="AC179" s="373" t="s">
        <v>1099</v>
      </c>
    </row>
    <row r="180" spans="26:29" ht="20">
      <c r="Z180" s="373">
        <v>164</v>
      </c>
      <c r="AA180" s="373" t="s">
        <v>1100</v>
      </c>
      <c r="AB180" s="373" t="s">
        <v>793</v>
      </c>
      <c r="AC180" s="373" t="s">
        <v>1101</v>
      </c>
    </row>
    <row r="181" spans="26:29" ht="20">
      <c r="Z181" s="373">
        <v>165</v>
      </c>
      <c r="AA181" s="373" t="s">
        <v>1102</v>
      </c>
      <c r="AB181" s="373" t="s">
        <v>758</v>
      </c>
      <c r="AC181" s="373" t="s">
        <v>1103</v>
      </c>
    </row>
    <row r="182" spans="26:29" ht="20">
      <c r="Z182" s="373">
        <v>166</v>
      </c>
      <c r="AA182" s="373" t="s">
        <v>1104</v>
      </c>
      <c r="AB182" s="373" t="s">
        <v>498</v>
      </c>
      <c r="AC182" s="373" t="s">
        <v>1105</v>
      </c>
    </row>
    <row r="183" spans="26:29" ht="20">
      <c r="Z183" s="373">
        <v>167</v>
      </c>
      <c r="AA183" s="373" t="s">
        <v>1106</v>
      </c>
      <c r="AB183" s="373" t="s">
        <v>798</v>
      </c>
      <c r="AC183" s="373" t="s">
        <v>1107</v>
      </c>
    </row>
    <row r="184" spans="26:29" ht="20">
      <c r="Z184" s="373">
        <v>168</v>
      </c>
      <c r="AA184" s="373" t="s">
        <v>1108</v>
      </c>
      <c r="AB184" s="373" t="s">
        <v>764</v>
      </c>
      <c r="AC184" s="373" t="s">
        <v>1109</v>
      </c>
    </row>
    <row r="185" spans="26:29" ht="20">
      <c r="Z185" s="373">
        <v>179</v>
      </c>
      <c r="AA185" s="373" t="s">
        <v>1110</v>
      </c>
      <c r="AB185" s="373" t="s">
        <v>793</v>
      </c>
      <c r="AC185" s="373" t="s">
        <v>1111</v>
      </c>
    </row>
    <row r="186" spans="26:29" ht="20">
      <c r="Z186" s="373">
        <v>170</v>
      </c>
      <c r="AA186" s="373" t="s">
        <v>1112</v>
      </c>
      <c r="AB186" s="373" t="s">
        <v>764</v>
      </c>
      <c r="AC186" s="373" t="s">
        <v>1113</v>
      </c>
    </row>
    <row r="187" spans="26:29" ht="20">
      <c r="Z187" s="373">
        <v>171</v>
      </c>
      <c r="AA187" s="373" t="s">
        <v>1114</v>
      </c>
      <c r="AB187" s="373" t="s">
        <v>758</v>
      </c>
      <c r="AC187" s="373" t="s">
        <v>1115</v>
      </c>
    </row>
    <row r="188" spans="26:29" ht="20">
      <c r="Z188" s="373">
        <v>172</v>
      </c>
      <c r="AA188" s="373" t="s">
        <v>1116</v>
      </c>
      <c r="AB188" s="373" t="s">
        <v>801</v>
      </c>
      <c r="AC188" s="373" t="s">
        <v>1117</v>
      </c>
    </row>
    <row r="189" spans="26:29" ht="20">
      <c r="Z189" s="373">
        <v>173</v>
      </c>
      <c r="AA189" s="373" t="s">
        <v>1118</v>
      </c>
      <c r="AB189" s="373" t="s">
        <v>498</v>
      </c>
      <c r="AC189" s="373" t="s">
        <v>1119</v>
      </c>
    </row>
    <row r="190" spans="26:29" ht="20">
      <c r="Z190" s="373">
        <v>174</v>
      </c>
      <c r="AA190" s="373" t="s">
        <v>1120</v>
      </c>
      <c r="AB190" s="373" t="s">
        <v>498</v>
      </c>
      <c r="AC190" s="373" t="s">
        <v>1121</v>
      </c>
    </row>
    <row r="191" spans="26:29" ht="20">
      <c r="Z191" s="373">
        <v>175</v>
      </c>
      <c r="AA191" s="373" t="s">
        <v>1122</v>
      </c>
      <c r="AB191" s="373" t="s">
        <v>498</v>
      </c>
      <c r="AC191" s="373" t="s">
        <v>1123</v>
      </c>
    </row>
    <row r="192" spans="26:29" ht="20">
      <c r="Z192" s="373">
        <v>176</v>
      </c>
      <c r="AA192" s="373" t="s">
        <v>1124</v>
      </c>
      <c r="AB192" s="373" t="s">
        <v>498</v>
      </c>
      <c r="AC192" s="373" t="s">
        <v>1125</v>
      </c>
    </row>
    <row r="193" spans="26:29" ht="20">
      <c r="Z193" s="373">
        <v>177</v>
      </c>
      <c r="AA193" s="373" t="s">
        <v>1126</v>
      </c>
      <c r="AB193" s="373" t="s">
        <v>498</v>
      </c>
      <c r="AC193" s="373" t="s">
        <v>1127</v>
      </c>
    </row>
    <row r="194" spans="26:29" ht="20">
      <c r="Z194" s="373">
        <v>178</v>
      </c>
      <c r="AA194" s="373" t="s">
        <v>1128</v>
      </c>
      <c r="AB194" s="373" t="s">
        <v>764</v>
      </c>
      <c r="AC194" s="373" t="s">
        <v>1129</v>
      </c>
    </row>
    <row r="195" spans="26:29" ht="20">
      <c r="Z195" s="373">
        <v>179</v>
      </c>
      <c r="AA195" s="373" t="s">
        <v>1130</v>
      </c>
      <c r="AB195" s="373" t="s">
        <v>801</v>
      </c>
      <c r="AC195" s="373" t="s">
        <v>1131</v>
      </c>
    </row>
    <row r="196" spans="26:29" ht="20">
      <c r="Z196" s="373">
        <v>180</v>
      </c>
      <c r="AA196" s="373" t="s">
        <v>1132</v>
      </c>
      <c r="AB196" s="373" t="s">
        <v>801</v>
      </c>
      <c r="AC196" s="373" t="s">
        <v>1133</v>
      </c>
    </row>
    <row r="197" spans="26:29" ht="20">
      <c r="Z197" s="373">
        <v>181</v>
      </c>
      <c r="AA197" s="373" t="s">
        <v>1134</v>
      </c>
      <c r="AB197" s="373" t="s">
        <v>761</v>
      </c>
      <c r="AC197" s="373" t="s">
        <v>1135</v>
      </c>
    </row>
    <row r="198" spans="26:29" ht="20">
      <c r="Z198" s="373">
        <v>182</v>
      </c>
      <c r="AA198" s="373" t="s">
        <v>1136</v>
      </c>
      <c r="AB198" s="373" t="s">
        <v>939</v>
      </c>
      <c r="AC198" s="373" t="s">
        <v>1137</v>
      </c>
    </row>
    <row r="199" spans="26:29" ht="20">
      <c r="Z199" s="373">
        <v>183</v>
      </c>
      <c r="AA199" s="373" t="s">
        <v>1138</v>
      </c>
      <c r="AB199" s="373" t="s">
        <v>498</v>
      </c>
      <c r="AC199" s="373" t="s">
        <v>1139</v>
      </c>
    </row>
    <row r="200" spans="26:29" ht="20">
      <c r="Z200" s="373">
        <v>184</v>
      </c>
      <c r="AA200" s="373" t="s">
        <v>1140</v>
      </c>
      <c r="AB200" s="373" t="s">
        <v>764</v>
      </c>
      <c r="AC200" s="373" t="s">
        <v>1141</v>
      </c>
    </row>
    <row r="201" spans="26:29" ht="20">
      <c r="Z201" s="373">
        <v>185</v>
      </c>
      <c r="AA201" s="373" t="s">
        <v>1142</v>
      </c>
      <c r="AB201" s="373" t="s">
        <v>767</v>
      </c>
      <c r="AC201" s="373" t="s">
        <v>696</v>
      </c>
    </row>
    <row r="202" spans="26:29" ht="20">
      <c r="Z202" s="373">
        <v>186</v>
      </c>
      <c r="AA202" s="373" t="s">
        <v>1143</v>
      </c>
      <c r="AB202" s="373" t="s">
        <v>793</v>
      </c>
      <c r="AC202" s="373" t="s">
        <v>1144</v>
      </c>
    </row>
    <row r="203" spans="26:29" ht="20">
      <c r="Z203" s="373">
        <v>187</v>
      </c>
      <c r="AA203" s="373" t="s">
        <v>1145</v>
      </c>
      <c r="AB203" s="373" t="s">
        <v>764</v>
      </c>
      <c r="AC203" s="373" t="s">
        <v>1146</v>
      </c>
    </row>
    <row r="204" spans="26:29" ht="20">
      <c r="Z204" s="373">
        <v>188</v>
      </c>
      <c r="AA204" s="373" t="s">
        <v>1147</v>
      </c>
      <c r="AB204" s="373" t="s">
        <v>801</v>
      </c>
      <c r="AC204" s="373" t="s">
        <v>1148</v>
      </c>
    </row>
    <row r="205" spans="26:29" ht="20">
      <c r="Z205" s="373">
        <v>189</v>
      </c>
      <c r="AA205" s="373" t="s">
        <v>1149</v>
      </c>
      <c r="AB205" s="373" t="s">
        <v>776</v>
      </c>
      <c r="AC205" s="373" t="s">
        <v>1150</v>
      </c>
    </row>
    <row r="206" spans="26:29" ht="20">
      <c r="Z206" s="373">
        <v>190</v>
      </c>
      <c r="AA206" s="373" t="s">
        <v>1151</v>
      </c>
      <c r="AB206" s="373" t="s">
        <v>798</v>
      </c>
      <c r="AC206" s="373" t="s">
        <v>1152</v>
      </c>
    </row>
    <row r="207" spans="26:29" ht="20">
      <c r="Z207" s="373">
        <v>191</v>
      </c>
      <c r="AA207" s="373" t="s">
        <v>1153</v>
      </c>
      <c r="AB207" s="373" t="s">
        <v>788</v>
      </c>
      <c r="AC207" s="373" t="s">
        <v>1154</v>
      </c>
    </row>
    <row r="208" spans="26:29" ht="20">
      <c r="Z208" s="373">
        <v>192</v>
      </c>
      <c r="AA208" s="373" t="s">
        <v>1155</v>
      </c>
      <c r="AB208" s="373" t="s">
        <v>776</v>
      </c>
      <c r="AC208" s="373" t="s">
        <v>1156</v>
      </c>
    </row>
    <row r="209" spans="26:29" ht="20">
      <c r="Z209" s="373">
        <v>193</v>
      </c>
      <c r="AA209" s="373" t="s">
        <v>1157</v>
      </c>
      <c r="AB209" s="373" t="s">
        <v>793</v>
      </c>
      <c r="AC209" s="373" t="s">
        <v>1158</v>
      </c>
    </row>
    <row r="210" spans="26:29" ht="20">
      <c r="Z210" s="373">
        <v>194</v>
      </c>
      <c r="AA210" s="373" t="s">
        <v>1159</v>
      </c>
      <c r="AB210" s="373" t="s">
        <v>776</v>
      </c>
      <c r="AC210" s="373" t="s">
        <v>1160</v>
      </c>
    </row>
    <row r="211" spans="26:29" ht="20">
      <c r="Z211" s="373">
        <v>195</v>
      </c>
      <c r="AA211" s="373" t="s">
        <v>1161</v>
      </c>
      <c r="AB211" s="373" t="s">
        <v>798</v>
      </c>
      <c r="AC211" s="373" t="s">
        <v>1162</v>
      </c>
    </row>
    <row r="212" spans="26:29" ht="20">
      <c r="Z212" s="373">
        <v>196</v>
      </c>
      <c r="AA212" s="373" t="s">
        <v>1163</v>
      </c>
      <c r="AB212" s="373" t="s">
        <v>764</v>
      </c>
      <c r="AC212" s="373" t="s">
        <v>1164</v>
      </c>
    </row>
    <row r="213" spans="26:29" ht="20">
      <c r="Z213" s="373">
        <v>197</v>
      </c>
      <c r="AA213" s="373" t="s">
        <v>1165</v>
      </c>
      <c r="AB213" s="373" t="s">
        <v>829</v>
      </c>
      <c r="AC213" s="373" t="s">
        <v>1166</v>
      </c>
    </row>
    <row r="214" spans="26:29" ht="20">
      <c r="Z214" s="373">
        <v>198</v>
      </c>
      <c r="AA214" s="373" t="s">
        <v>1167</v>
      </c>
      <c r="AB214" s="373" t="s">
        <v>813</v>
      </c>
      <c r="AC214" s="373" t="s">
        <v>1168</v>
      </c>
    </row>
    <row r="215" spans="26:29" ht="20">
      <c r="Z215" s="373">
        <v>199</v>
      </c>
      <c r="AA215" s="373" t="s">
        <v>1169</v>
      </c>
      <c r="AB215" s="373" t="s">
        <v>758</v>
      </c>
      <c r="AC215" s="373" t="s">
        <v>1170</v>
      </c>
    </row>
    <row r="216" spans="26:29" ht="20">
      <c r="Z216" s="373">
        <v>200</v>
      </c>
      <c r="AA216" s="373" t="s">
        <v>1171</v>
      </c>
      <c r="AB216" s="373" t="s">
        <v>758</v>
      </c>
      <c r="AC216" s="373" t="s">
        <v>1172</v>
      </c>
    </row>
    <row r="217" spans="26:29" ht="20">
      <c r="Z217" s="373">
        <v>201</v>
      </c>
      <c r="AA217" s="373" t="s">
        <v>1173</v>
      </c>
      <c r="AB217" s="373" t="s">
        <v>758</v>
      </c>
      <c r="AC217" s="373" t="s">
        <v>1174</v>
      </c>
    </row>
    <row r="218" spans="26:29" ht="20">
      <c r="Z218" s="373">
        <v>202</v>
      </c>
      <c r="AA218" s="373" t="s">
        <v>1175</v>
      </c>
      <c r="AB218" s="373" t="s">
        <v>918</v>
      </c>
      <c r="AC218" s="373" t="s">
        <v>1176</v>
      </c>
    </row>
    <row r="219" spans="26:29" ht="20">
      <c r="Z219" s="373">
        <v>203</v>
      </c>
      <c r="AA219" s="373" t="s">
        <v>1177</v>
      </c>
      <c r="AB219" s="373" t="s">
        <v>813</v>
      </c>
      <c r="AC219" s="373" t="s">
        <v>1178</v>
      </c>
    </row>
    <row r="220" spans="26:29" ht="20">
      <c r="Z220" s="373">
        <v>204</v>
      </c>
      <c r="AA220" s="373" t="s">
        <v>1179</v>
      </c>
      <c r="AB220" s="373" t="s">
        <v>764</v>
      </c>
      <c r="AC220" s="373" t="s">
        <v>1180</v>
      </c>
    </row>
    <row r="221" spans="26:29" ht="20">
      <c r="Z221" s="373">
        <v>205</v>
      </c>
      <c r="AA221" s="373" t="s">
        <v>1181</v>
      </c>
      <c r="AB221" s="373" t="s">
        <v>832</v>
      </c>
      <c r="AC221" s="373" t="s">
        <v>1182</v>
      </c>
    </row>
    <row r="222" spans="26:29" ht="20">
      <c r="Z222" s="373">
        <v>206</v>
      </c>
      <c r="AA222" s="373" t="s">
        <v>1183</v>
      </c>
      <c r="AB222" s="373" t="s">
        <v>829</v>
      </c>
      <c r="AC222" s="373" t="s">
        <v>1184</v>
      </c>
    </row>
    <row r="223" spans="26:29" ht="20">
      <c r="Z223" s="373">
        <v>207</v>
      </c>
      <c r="AA223" s="373" t="s">
        <v>1185</v>
      </c>
      <c r="AB223" s="373" t="s">
        <v>776</v>
      </c>
      <c r="AC223" s="373" t="s">
        <v>1186</v>
      </c>
    </row>
    <row r="224" spans="26:29" ht="20">
      <c r="Z224" s="373">
        <v>208</v>
      </c>
      <c r="AA224" s="373" t="s">
        <v>1187</v>
      </c>
      <c r="AB224" s="373" t="s">
        <v>788</v>
      </c>
      <c r="AC224" s="373" t="s">
        <v>701</v>
      </c>
    </row>
    <row r="225" spans="26:29" ht="20">
      <c r="Z225" s="373">
        <v>209</v>
      </c>
      <c r="AA225" s="373" t="s">
        <v>1188</v>
      </c>
      <c r="AB225" s="373" t="s">
        <v>764</v>
      </c>
      <c r="AC225" s="373" t="s">
        <v>1189</v>
      </c>
    </row>
    <row r="226" spans="26:29" ht="20">
      <c r="Z226" s="373">
        <v>210</v>
      </c>
      <c r="AA226" s="373" t="s">
        <v>1190</v>
      </c>
      <c r="AB226" s="373" t="s">
        <v>788</v>
      </c>
      <c r="AC226" s="373" t="s">
        <v>1191</v>
      </c>
    </row>
    <row r="227" spans="26:29" ht="20">
      <c r="Z227" s="373">
        <v>211</v>
      </c>
      <c r="AA227" s="373" t="s">
        <v>1192</v>
      </c>
      <c r="AB227" s="373" t="s">
        <v>798</v>
      </c>
      <c r="AC227" s="373" t="s">
        <v>1193</v>
      </c>
    </row>
    <row r="228" spans="26:29" ht="20">
      <c r="Z228" s="373">
        <v>212</v>
      </c>
      <c r="AA228" s="373" t="s">
        <v>1194</v>
      </c>
      <c r="AB228" s="373" t="s">
        <v>801</v>
      </c>
      <c r="AC228" s="373" t="s">
        <v>1195</v>
      </c>
    </row>
    <row r="229" spans="26:29" ht="20">
      <c r="Z229" s="373">
        <v>213</v>
      </c>
      <c r="AA229" s="373" t="s">
        <v>1196</v>
      </c>
      <c r="AB229" s="373" t="s">
        <v>788</v>
      </c>
      <c r="AC229" s="373" t="s">
        <v>1197</v>
      </c>
    </row>
    <row r="230" spans="26:29" ht="20">
      <c r="Z230" s="373">
        <v>214</v>
      </c>
      <c r="AA230" s="373" t="s">
        <v>1198</v>
      </c>
      <c r="AB230" s="373" t="s">
        <v>764</v>
      </c>
      <c r="AC230" s="373" t="s">
        <v>1199</v>
      </c>
    </row>
    <row r="231" spans="26:29" ht="20">
      <c r="Z231" s="373">
        <v>215</v>
      </c>
      <c r="AA231" s="373" t="s">
        <v>1200</v>
      </c>
      <c r="AB231" s="373" t="s">
        <v>758</v>
      </c>
      <c r="AC231" s="373" t="s">
        <v>1201</v>
      </c>
    </row>
    <row r="232" spans="26:29" ht="20">
      <c r="Z232" s="373">
        <v>216</v>
      </c>
      <c r="AA232" s="373" t="s">
        <v>1202</v>
      </c>
      <c r="AB232" s="373" t="s">
        <v>801</v>
      </c>
      <c r="AC232" s="373" t="s">
        <v>1203</v>
      </c>
    </row>
    <row r="233" spans="26:29" ht="20">
      <c r="Z233" s="373">
        <v>217</v>
      </c>
      <c r="AA233" s="373" t="s">
        <v>1204</v>
      </c>
      <c r="AB233" s="373" t="s">
        <v>764</v>
      </c>
      <c r="AC233" s="373" t="s">
        <v>1205</v>
      </c>
    </row>
    <row r="234" spans="26:29" ht="20">
      <c r="Z234" s="373">
        <v>218</v>
      </c>
      <c r="AA234" s="373" t="s">
        <v>1206</v>
      </c>
      <c r="AB234" s="373" t="s">
        <v>758</v>
      </c>
      <c r="AC234" s="373" t="s">
        <v>1207</v>
      </c>
    </row>
    <row r="235" spans="26:29" ht="20">
      <c r="Z235" s="373">
        <v>219</v>
      </c>
      <c r="AA235" s="373" t="s">
        <v>1208</v>
      </c>
      <c r="AB235" s="373" t="s">
        <v>758</v>
      </c>
      <c r="AC235" s="373" t="s">
        <v>1209</v>
      </c>
    </row>
    <row r="236" spans="26:29" ht="20">
      <c r="Z236" s="373">
        <v>220</v>
      </c>
      <c r="AA236" s="373" t="s">
        <v>1210</v>
      </c>
      <c r="AB236" s="373" t="s">
        <v>758</v>
      </c>
      <c r="AC236" s="373" t="s">
        <v>1211</v>
      </c>
    </row>
    <row r="237" spans="26:29" ht="20">
      <c r="Z237" s="373">
        <v>221</v>
      </c>
      <c r="AA237" s="373" t="s">
        <v>1212</v>
      </c>
      <c r="AB237" s="373" t="s">
        <v>758</v>
      </c>
      <c r="AC237" s="373" t="s">
        <v>1213</v>
      </c>
    </row>
    <row r="238" spans="26:29" ht="20">
      <c r="Z238" s="373">
        <v>222</v>
      </c>
      <c r="AA238" s="373" t="s">
        <v>1214</v>
      </c>
      <c r="AB238" s="373" t="s">
        <v>758</v>
      </c>
      <c r="AC238" s="373" t="s">
        <v>1215</v>
      </c>
    </row>
    <row r="239" spans="26:29" ht="20">
      <c r="Z239" s="373">
        <v>223</v>
      </c>
      <c r="AA239" s="373" t="s">
        <v>1216</v>
      </c>
      <c r="AB239" s="373" t="s">
        <v>758</v>
      </c>
      <c r="AC239" s="373" t="s">
        <v>1217</v>
      </c>
    </row>
    <row r="240" spans="26:29" ht="20">
      <c r="Z240" s="373">
        <v>224</v>
      </c>
      <c r="AA240" s="373" t="s">
        <v>1218</v>
      </c>
      <c r="AB240" s="373" t="s">
        <v>758</v>
      </c>
      <c r="AC240" s="373" t="s">
        <v>1219</v>
      </c>
    </row>
    <row r="241" spans="26:29" ht="20">
      <c r="Z241" s="373">
        <v>225</v>
      </c>
      <c r="AA241" s="373" t="s">
        <v>1220</v>
      </c>
      <c r="AB241" s="373" t="s">
        <v>758</v>
      </c>
      <c r="AC241" s="373" t="s">
        <v>1221</v>
      </c>
    </row>
    <row r="242" spans="26:29" ht="20">
      <c r="Z242" s="373">
        <v>226</v>
      </c>
      <c r="AA242" s="373" t="s">
        <v>1222</v>
      </c>
      <c r="AB242" s="373" t="s">
        <v>758</v>
      </c>
      <c r="AC242" s="373" t="s">
        <v>1223</v>
      </c>
    </row>
    <row r="243" spans="26:29" ht="20">
      <c r="Z243" s="373">
        <v>227</v>
      </c>
      <c r="AA243" s="373" t="s">
        <v>1224</v>
      </c>
      <c r="AB243" s="373" t="s">
        <v>1076</v>
      </c>
      <c r="AC243" s="373" t="s">
        <v>1225</v>
      </c>
    </row>
    <row r="244" spans="26:29" ht="20">
      <c r="Z244" s="373">
        <v>228</v>
      </c>
      <c r="AA244" s="373" t="s">
        <v>1226</v>
      </c>
      <c r="AB244" s="373" t="s">
        <v>1076</v>
      </c>
      <c r="AC244" s="373" t="s">
        <v>1227</v>
      </c>
    </row>
    <row r="245" spans="26:29" ht="20">
      <c r="Z245" s="373">
        <v>229</v>
      </c>
      <c r="AA245" s="373" t="s">
        <v>1228</v>
      </c>
      <c r="AB245" s="373" t="s">
        <v>801</v>
      </c>
      <c r="AC245" s="373" t="s">
        <v>536</v>
      </c>
    </row>
    <row r="246" spans="26:29" ht="20">
      <c r="Z246" s="373">
        <v>230</v>
      </c>
      <c r="AA246" s="373" t="s">
        <v>1229</v>
      </c>
      <c r="AB246" s="373" t="s">
        <v>918</v>
      </c>
      <c r="AC246" s="373" t="s">
        <v>1230</v>
      </c>
    </row>
    <row r="247" spans="26:29" ht="20">
      <c r="Z247" s="373">
        <v>231</v>
      </c>
      <c r="AA247" s="373" t="s">
        <v>1231</v>
      </c>
      <c r="AB247" s="373" t="s">
        <v>767</v>
      </c>
      <c r="AC247" s="373" t="s">
        <v>1232</v>
      </c>
    </row>
    <row r="248" spans="26:29" ht="20">
      <c r="Z248" s="373">
        <v>232</v>
      </c>
      <c r="AA248" s="373" t="s">
        <v>1233</v>
      </c>
      <c r="AB248" s="373" t="s">
        <v>806</v>
      </c>
      <c r="AC248" s="373" t="s">
        <v>1234</v>
      </c>
    </row>
    <row r="249" spans="26:29" ht="20">
      <c r="Z249" s="373">
        <v>233</v>
      </c>
      <c r="AA249" s="373" t="s">
        <v>1235</v>
      </c>
      <c r="AB249" s="373" t="s">
        <v>758</v>
      </c>
      <c r="AC249" s="373" t="s">
        <v>1236</v>
      </c>
    </row>
    <row r="250" spans="26:29" ht="20">
      <c r="Z250" s="373">
        <v>234</v>
      </c>
      <c r="AA250" s="373" t="s">
        <v>1237</v>
      </c>
      <c r="AB250" s="373" t="s">
        <v>758</v>
      </c>
      <c r="AC250" s="373" t="s">
        <v>1238</v>
      </c>
    </row>
    <row r="251" spans="26:29" ht="20">
      <c r="Z251" s="373">
        <v>235</v>
      </c>
      <c r="AA251" s="373" t="s">
        <v>1239</v>
      </c>
      <c r="AB251" s="373" t="s">
        <v>806</v>
      </c>
      <c r="AC251" s="373" t="s">
        <v>1240</v>
      </c>
    </row>
    <row r="252" spans="26:29" ht="20">
      <c r="Z252" s="373">
        <v>236</v>
      </c>
      <c r="AA252" s="373" t="s">
        <v>1241</v>
      </c>
      <c r="AB252" s="373" t="s">
        <v>798</v>
      </c>
      <c r="AC252" s="373" t="s">
        <v>703</v>
      </c>
    </row>
    <row r="253" spans="26:29" ht="20">
      <c r="Z253" s="373">
        <v>237</v>
      </c>
      <c r="AA253" s="373" t="s">
        <v>1242</v>
      </c>
      <c r="AB253" s="373" t="s">
        <v>758</v>
      </c>
      <c r="AC253" s="373" t="s">
        <v>1243</v>
      </c>
    </row>
    <row r="254" spans="26:29" ht="20">
      <c r="Z254" s="373">
        <v>238</v>
      </c>
      <c r="AA254" s="373" t="s">
        <v>1244</v>
      </c>
      <c r="AB254" s="373" t="s">
        <v>806</v>
      </c>
      <c r="AC254" s="373" t="s">
        <v>1245</v>
      </c>
    </row>
    <row r="255" spans="26:29" ht="20">
      <c r="Z255" s="373">
        <v>239</v>
      </c>
      <c r="AA255" s="373" t="s">
        <v>1246</v>
      </c>
      <c r="AB255" s="373" t="s">
        <v>758</v>
      </c>
      <c r="AC255" s="373" t="s">
        <v>1247</v>
      </c>
    </row>
    <row r="256" spans="26:29" ht="20">
      <c r="Z256" s="373">
        <v>240</v>
      </c>
      <c r="AA256" s="373" t="s">
        <v>1248</v>
      </c>
      <c r="AB256" s="373" t="s">
        <v>832</v>
      </c>
      <c r="AC256" s="373" t="s">
        <v>1249</v>
      </c>
    </row>
    <row r="257" spans="26:29" ht="20">
      <c r="Z257" s="373">
        <v>241</v>
      </c>
      <c r="AA257" s="373" t="s">
        <v>1250</v>
      </c>
      <c r="AB257" s="373" t="s">
        <v>798</v>
      </c>
      <c r="AC257" s="373" t="s">
        <v>1251</v>
      </c>
    </row>
    <row r="258" spans="26:29" ht="20">
      <c r="Z258" s="373">
        <v>242</v>
      </c>
      <c r="AA258" s="373" t="s">
        <v>1252</v>
      </c>
      <c r="AB258" s="373" t="s">
        <v>918</v>
      </c>
      <c r="AC258" s="373" t="s">
        <v>1253</v>
      </c>
    </row>
    <row r="259" spans="26:29" ht="20">
      <c r="Z259" s="373">
        <v>243</v>
      </c>
      <c r="AA259" s="373" t="s">
        <v>1254</v>
      </c>
      <c r="AB259" s="373" t="s">
        <v>758</v>
      </c>
      <c r="AC259" s="373" t="s">
        <v>1255</v>
      </c>
    </row>
    <row r="260" spans="26:29" ht="20">
      <c r="Z260" s="373">
        <v>244</v>
      </c>
      <c r="AA260" s="373" t="s">
        <v>1256</v>
      </c>
      <c r="AB260" s="373" t="s">
        <v>806</v>
      </c>
      <c r="AC260" s="373" t="s">
        <v>1257</v>
      </c>
    </row>
    <row r="261" spans="26:29" ht="20">
      <c r="Z261" s="373">
        <v>245</v>
      </c>
      <c r="AA261" s="373" t="s">
        <v>1258</v>
      </c>
      <c r="AB261" s="373" t="s">
        <v>813</v>
      </c>
      <c r="AC261" s="373" t="s">
        <v>146</v>
      </c>
    </row>
    <row r="262" spans="26:29" ht="20">
      <c r="Z262" s="373">
        <v>246</v>
      </c>
      <c r="AA262" s="373" t="s">
        <v>1259</v>
      </c>
      <c r="AB262" s="373" t="s">
        <v>764</v>
      </c>
      <c r="AC262" s="373" t="s">
        <v>1260</v>
      </c>
    </row>
    <row r="263" spans="26:29" ht="20">
      <c r="Z263" s="373">
        <v>247</v>
      </c>
      <c r="AA263" s="373" t="s">
        <v>1261</v>
      </c>
      <c r="AB263" s="373" t="s">
        <v>813</v>
      </c>
      <c r="AC263" s="373" t="s">
        <v>1262</v>
      </c>
    </row>
    <row r="264" spans="26:29" ht="20">
      <c r="Z264" s="373">
        <v>248</v>
      </c>
      <c r="AA264" s="373" t="s">
        <v>1263</v>
      </c>
      <c r="AB264" s="373" t="s">
        <v>793</v>
      </c>
      <c r="AC264" s="373" t="s">
        <v>1264</v>
      </c>
    </row>
    <row r="265" spans="26:29" ht="20">
      <c r="Z265" s="373">
        <v>249</v>
      </c>
      <c r="AA265" s="373" t="s">
        <v>1265</v>
      </c>
      <c r="AB265" s="373" t="s">
        <v>498</v>
      </c>
      <c r="AC265" s="373" t="s">
        <v>1266</v>
      </c>
    </row>
    <row r="266" spans="26:29" ht="20">
      <c r="Z266" s="373">
        <v>250</v>
      </c>
      <c r="AA266" s="373" t="s">
        <v>1267</v>
      </c>
      <c r="AB266" s="373" t="s">
        <v>498</v>
      </c>
      <c r="AC266" s="373" t="s">
        <v>1268</v>
      </c>
    </row>
    <row r="267" spans="26:29" ht="20">
      <c r="Z267" s="373">
        <v>251</v>
      </c>
      <c r="AA267" s="373" t="s">
        <v>1269</v>
      </c>
      <c r="AB267" s="373" t="s">
        <v>767</v>
      </c>
      <c r="AC267" s="373" t="s">
        <v>1270</v>
      </c>
    </row>
    <row r="268" spans="26:29" ht="20">
      <c r="Z268" s="373">
        <v>252</v>
      </c>
      <c r="AA268" s="373" t="s">
        <v>1271</v>
      </c>
      <c r="AB268" s="373" t="s">
        <v>829</v>
      </c>
      <c r="AC268" s="373" t="s">
        <v>1272</v>
      </c>
    </row>
    <row r="269" spans="26:29" ht="20">
      <c r="Z269" s="373">
        <v>253</v>
      </c>
      <c r="AA269" s="373" t="s">
        <v>1273</v>
      </c>
      <c r="AB269" s="373" t="s">
        <v>767</v>
      </c>
      <c r="AC269" s="373" t="s">
        <v>1274</v>
      </c>
    </row>
    <row r="270" spans="26:29" ht="20">
      <c r="Z270" s="373">
        <v>254</v>
      </c>
      <c r="AA270" s="373" t="s">
        <v>1275</v>
      </c>
      <c r="AB270" s="373" t="s">
        <v>982</v>
      </c>
      <c r="AC270" s="373" t="s">
        <v>1276</v>
      </c>
    </row>
    <row r="271" spans="26:29" ht="20">
      <c r="Z271" s="373">
        <v>255</v>
      </c>
      <c r="AA271" s="373" t="s">
        <v>1277</v>
      </c>
      <c r="AB271" s="373" t="s">
        <v>758</v>
      </c>
      <c r="AC271" s="373" t="s">
        <v>1278</v>
      </c>
    </row>
    <row r="272" spans="26:29" ht="20">
      <c r="Z272" s="373">
        <v>256</v>
      </c>
      <c r="AA272" s="373" t="s">
        <v>1279</v>
      </c>
      <c r="AB272" s="373" t="s">
        <v>785</v>
      </c>
      <c r="AC272" s="373" t="s">
        <v>1280</v>
      </c>
    </row>
    <row r="273" spans="26:29" ht="20">
      <c r="Z273" s="373">
        <v>257</v>
      </c>
      <c r="AA273" s="373" t="s">
        <v>1281</v>
      </c>
      <c r="AB273" s="373" t="s">
        <v>793</v>
      </c>
      <c r="AC273" s="373" t="s">
        <v>1282</v>
      </c>
    </row>
    <row r="274" spans="26:29" ht="20">
      <c r="Z274" s="373">
        <v>258</v>
      </c>
      <c r="AA274" s="373" t="s">
        <v>1283</v>
      </c>
      <c r="AB274" s="373" t="s">
        <v>788</v>
      </c>
      <c r="AC274" s="373" t="s">
        <v>1284</v>
      </c>
    </row>
    <row r="275" spans="26:29" ht="20">
      <c r="Z275" s="373">
        <v>259</v>
      </c>
      <c r="AA275" s="373" t="s">
        <v>1285</v>
      </c>
      <c r="AB275" s="373" t="s">
        <v>788</v>
      </c>
      <c r="AC275" s="373" t="s">
        <v>1286</v>
      </c>
    </row>
    <row r="276" spans="26:29" ht="20">
      <c r="Z276" s="373">
        <v>260</v>
      </c>
      <c r="AA276" s="373" t="s">
        <v>1287</v>
      </c>
      <c r="AB276" s="373" t="s">
        <v>758</v>
      </c>
      <c r="AC276" s="373" t="s">
        <v>1288</v>
      </c>
    </row>
    <row r="277" spans="26:29" ht="20">
      <c r="Z277" s="373">
        <v>261</v>
      </c>
      <c r="AA277" s="373" t="s">
        <v>1289</v>
      </c>
      <c r="AB277" s="373" t="s">
        <v>764</v>
      </c>
      <c r="AC277" s="373" t="s">
        <v>1290</v>
      </c>
    </row>
    <row r="278" spans="26:29" ht="20">
      <c r="Z278" s="373">
        <v>262</v>
      </c>
      <c r="AA278" s="373" t="s">
        <v>1291</v>
      </c>
      <c r="AB278" s="373" t="s">
        <v>788</v>
      </c>
      <c r="AC278" s="373" t="s">
        <v>1292</v>
      </c>
    </row>
    <row r="279" spans="26:29" ht="20">
      <c r="Z279" s="373">
        <v>263</v>
      </c>
      <c r="AA279" s="373" t="s">
        <v>1293</v>
      </c>
      <c r="AB279" s="373" t="s">
        <v>788</v>
      </c>
      <c r="AC279" s="373" t="s">
        <v>1294</v>
      </c>
    </row>
    <row r="280" spans="26:29" ht="20">
      <c r="Z280" s="373">
        <v>264</v>
      </c>
      <c r="AA280" s="373" t="s">
        <v>1295</v>
      </c>
      <c r="AB280" s="373" t="s">
        <v>758</v>
      </c>
      <c r="AC280" s="373" t="s">
        <v>1296</v>
      </c>
    </row>
    <row r="281" spans="26:29" ht="20">
      <c r="Z281" s="373">
        <v>265</v>
      </c>
      <c r="AA281" s="373" t="s">
        <v>1297</v>
      </c>
      <c r="AB281" s="373" t="s">
        <v>806</v>
      </c>
      <c r="AC281" s="373" t="s">
        <v>1298</v>
      </c>
    </row>
    <row r="282" spans="26:29" ht="20">
      <c r="Z282" s="373">
        <v>266</v>
      </c>
      <c r="AA282" s="373" t="s">
        <v>1299</v>
      </c>
      <c r="AB282" s="373" t="s">
        <v>776</v>
      </c>
      <c r="AC282" s="373" t="s">
        <v>1300</v>
      </c>
    </row>
    <row r="283" spans="26:29" ht="20">
      <c r="Z283" s="373">
        <v>267</v>
      </c>
      <c r="AA283" s="373" t="s">
        <v>1301</v>
      </c>
      <c r="AB283" s="373" t="s">
        <v>498</v>
      </c>
      <c r="AC283" s="373" t="s">
        <v>1302</v>
      </c>
    </row>
    <row r="284" spans="26:29" ht="20">
      <c r="Z284" s="373">
        <v>268</v>
      </c>
      <c r="AA284" s="373" t="s">
        <v>1303</v>
      </c>
      <c r="AB284" s="373" t="s">
        <v>764</v>
      </c>
      <c r="AC284" s="373" t="s">
        <v>1304</v>
      </c>
    </row>
    <row r="285" spans="26:29" ht="20">
      <c r="Z285" s="373">
        <v>269</v>
      </c>
      <c r="AA285" s="373" t="s">
        <v>1305</v>
      </c>
      <c r="AB285" s="373" t="s">
        <v>806</v>
      </c>
      <c r="AC285" s="373" t="s">
        <v>1306</v>
      </c>
    </row>
    <row r="286" spans="26:29" ht="20">
      <c r="Z286" s="373">
        <v>270</v>
      </c>
      <c r="AA286" s="373" t="s">
        <v>1307</v>
      </c>
      <c r="AB286" s="373" t="s">
        <v>801</v>
      </c>
      <c r="AC286" s="373" t="s">
        <v>1308</v>
      </c>
    </row>
    <row r="287" spans="26:29" ht="20">
      <c r="Z287" s="373">
        <v>271</v>
      </c>
      <c r="AA287" s="373" t="s">
        <v>1309</v>
      </c>
      <c r="AB287" s="373" t="s">
        <v>826</v>
      </c>
      <c r="AC287" s="373" t="s">
        <v>1310</v>
      </c>
    </row>
    <row r="288" spans="26:29" ht="20">
      <c r="Z288" s="373">
        <v>272</v>
      </c>
      <c r="AA288" s="373" t="s">
        <v>1311</v>
      </c>
      <c r="AB288" s="373" t="s">
        <v>764</v>
      </c>
      <c r="AC288" s="373" t="s">
        <v>1312</v>
      </c>
    </row>
    <row r="289" spans="26:29" ht="20">
      <c r="Z289" s="373">
        <v>273</v>
      </c>
      <c r="AA289" s="373" t="s">
        <v>1313</v>
      </c>
      <c r="AB289" s="373" t="s">
        <v>1076</v>
      </c>
      <c r="AC289" s="373" t="s">
        <v>1314</v>
      </c>
    </row>
    <row r="290" spans="26:29" ht="20">
      <c r="Z290" s="373">
        <v>274</v>
      </c>
      <c r="AA290" s="373" t="s">
        <v>1315</v>
      </c>
      <c r="AB290" s="373" t="s">
        <v>813</v>
      </c>
      <c r="AC290" s="373" t="s">
        <v>1316</v>
      </c>
    </row>
    <row r="291" spans="26:29" ht="20">
      <c r="Z291" s="373">
        <v>275</v>
      </c>
      <c r="AA291" s="373" t="s">
        <v>1317</v>
      </c>
      <c r="AB291" s="373" t="s">
        <v>801</v>
      </c>
      <c r="AC291" s="373" t="s">
        <v>1318</v>
      </c>
    </row>
    <row r="292" spans="26:29" ht="20">
      <c r="Z292" s="373">
        <v>276</v>
      </c>
      <c r="AA292" s="373" t="s">
        <v>1319</v>
      </c>
      <c r="AB292" s="373" t="s">
        <v>764</v>
      </c>
      <c r="AC292" s="373" t="s">
        <v>1320</v>
      </c>
    </row>
    <row r="293" spans="26:29" ht="20">
      <c r="Z293" s="373">
        <v>277</v>
      </c>
      <c r="AA293" s="373" t="s">
        <v>1321</v>
      </c>
      <c r="AB293" s="373" t="s">
        <v>832</v>
      </c>
      <c r="AC293" s="373" t="s">
        <v>1322</v>
      </c>
    </row>
    <row r="294" spans="26:29" ht="20">
      <c r="Z294" s="373">
        <v>278</v>
      </c>
      <c r="AA294" s="373" t="s">
        <v>1323</v>
      </c>
      <c r="AB294" s="373" t="s">
        <v>1076</v>
      </c>
      <c r="AC294" s="373" t="s">
        <v>1324</v>
      </c>
    </row>
    <row r="295" spans="26:29" ht="20">
      <c r="Z295" s="373">
        <v>279</v>
      </c>
      <c r="AA295" s="373" t="s">
        <v>1325</v>
      </c>
      <c r="AB295" s="373" t="s">
        <v>832</v>
      </c>
      <c r="AC295" s="373" t="s">
        <v>1326</v>
      </c>
    </row>
    <row r="296" spans="26:29" ht="20">
      <c r="Z296" s="373">
        <v>280</v>
      </c>
      <c r="AA296" s="373" t="s">
        <v>1327</v>
      </c>
      <c r="AB296" s="373" t="s">
        <v>832</v>
      </c>
      <c r="AC296" s="373" t="s">
        <v>1328</v>
      </c>
    </row>
    <row r="297" spans="26:29" ht="20">
      <c r="Z297" s="373">
        <v>281</v>
      </c>
      <c r="AA297" s="373" t="s">
        <v>1329</v>
      </c>
      <c r="AB297" s="373" t="s">
        <v>758</v>
      </c>
      <c r="AC297" s="373" t="s">
        <v>1330</v>
      </c>
    </row>
    <row r="298" spans="26:29" ht="20">
      <c r="Z298" s="373">
        <v>282</v>
      </c>
      <c r="AA298" s="373" t="s">
        <v>1331</v>
      </c>
      <c r="AB298" s="373" t="s">
        <v>764</v>
      </c>
      <c r="AC298" s="373" t="s">
        <v>1332</v>
      </c>
    </row>
    <row r="299" spans="26:29" ht="20">
      <c r="Z299" s="373">
        <v>283</v>
      </c>
      <c r="AA299" s="373" t="s">
        <v>1333</v>
      </c>
      <c r="AB299" s="373" t="s">
        <v>1076</v>
      </c>
      <c r="AC299" s="373" t="s">
        <v>1334</v>
      </c>
    </row>
    <row r="300" spans="26:29" ht="20">
      <c r="Z300" s="373">
        <v>284</v>
      </c>
      <c r="AA300" s="373" t="s">
        <v>1335</v>
      </c>
      <c r="AB300" s="373" t="s">
        <v>758</v>
      </c>
      <c r="AC300" s="373" t="s">
        <v>1336</v>
      </c>
    </row>
    <row r="301" spans="26:29" ht="20">
      <c r="Z301" s="373">
        <v>285</v>
      </c>
      <c r="AA301" s="373" t="s">
        <v>1337</v>
      </c>
      <c r="AB301" s="373" t="s">
        <v>758</v>
      </c>
      <c r="AC301" s="373" t="s">
        <v>1338</v>
      </c>
    </row>
    <row r="302" spans="26:29" ht="20">
      <c r="Z302" s="373">
        <v>286</v>
      </c>
      <c r="AA302" s="373" t="s">
        <v>1339</v>
      </c>
      <c r="AB302" s="373" t="s">
        <v>498</v>
      </c>
      <c r="AC302" s="373" t="s">
        <v>1340</v>
      </c>
    </row>
    <row r="303" spans="26:29" ht="20">
      <c r="Z303" s="373">
        <v>287</v>
      </c>
      <c r="AA303" s="373" t="s">
        <v>1341</v>
      </c>
      <c r="AB303" s="373" t="s">
        <v>758</v>
      </c>
      <c r="AC303" s="373" t="s">
        <v>1342</v>
      </c>
    </row>
    <row r="304" spans="26:29" ht="20">
      <c r="Z304" s="373">
        <v>288</v>
      </c>
      <c r="AA304" s="373" t="s">
        <v>1343</v>
      </c>
      <c r="AB304" s="373" t="s">
        <v>813</v>
      </c>
      <c r="AC304" s="373" t="s">
        <v>1344</v>
      </c>
    </row>
    <row r="305" spans="26:29" ht="20">
      <c r="Z305" s="373">
        <v>289</v>
      </c>
      <c r="AA305" s="373" t="s">
        <v>1345</v>
      </c>
      <c r="AB305" s="373" t="s">
        <v>758</v>
      </c>
      <c r="AC305" s="373" t="s">
        <v>1346</v>
      </c>
    </row>
    <row r="306" spans="26:29" ht="20">
      <c r="Z306" s="373">
        <v>290</v>
      </c>
      <c r="AA306" s="373" t="s">
        <v>1347</v>
      </c>
      <c r="AB306" s="373" t="s">
        <v>813</v>
      </c>
      <c r="AC306" s="373" t="s">
        <v>1348</v>
      </c>
    </row>
    <row r="307" spans="26:29" ht="20">
      <c r="Z307" s="373">
        <v>291</v>
      </c>
      <c r="AA307" s="373" t="s">
        <v>1349</v>
      </c>
      <c r="AB307" s="373" t="s">
        <v>1076</v>
      </c>
      <c r="AC307" s="373" t="s">
        <v>1350</v>
      </c>
    </row>
    <row r="308" spans="26:29" ht="20">
      <c r="Z308" s="373">
        <v>292</v>
      </c>
      <c r="AA308" s="373" t="s">
        <v>1351</v>
      </c>
      <c r="AB308" s="373" t="s">
        <v>813</v>
      </c>
      <c r="AC308" s="373" t="s">
        <v>1352</v>
      </c>
    </row>
    <row r="309" spans="26:29" ht="20">
      <c r="Z309" s="373">
        <v>293</v>
      </c>
      <c r="AA309" s="373" t="s">
        <v>1353</v>
      </c>
      <c r="AB309" s="373" t="s">
        <v>498</v>
      </c>
      <c r="AC309" s="373" t="s">
        <v>1354</v>
      </c>
    </row>
    <row r="310" spans="26:29" ht="20">
      <c r="Z310" s="373">
        <v>294</v>
      </c>
      <c r="AA310" s="373" t="s">
        <v>1355</v>
      </c>
      <c r="AB310" s="373" t="s">
        <v>776</v>
      </c>
      <c r="AC310" s="373" t="s">
        <v>1356</v>
      </c>
    </row>
    <row r="311" spans="26:29" ht="20">
      <c r="Z311" s="373">
        <v>295</v>
      </c>
      <c r="AA311" s="373" t="s">
        <v>1357</v>
      </c>
      <c r="AB311" s="373" t="s">
        <v>806</v>
      </c>
      <c r="AC311" s="373" t="s">
        <v>1358</v>
      </c>
    </row>
    <row r="312" spans="26:29" ht="20">
      <c r="Z312" s="373">
        <v>296</v>
      </c>
      <c r="AA312" s="373" t="s">
        <v>1359</v>
      </c>
      <c r="AB312" s="373" t="s">
        <v>758</v>
      </c>
      <c r="AC312" s="373" t="s">
        <v>1360</v>
      </c>
    </row>
    <row r="313" spans="26:29" ht="20">
      <c r="Z313" s="373">
        <v>297</v>
      </c>
      <c r="AA313" s="373" t="s">
        <v>1361</v>
      </c>
      <c r="AB313" s="373" t="s">
        <v>776</v>
      </c>
      <c r="AC313" s="373" t="s">
        <v>1362</v>
      </c>
    </row>
    <row r="314" spans="26:29" ht="20">
      <c r="Z314" s="373">
        <v>298</v>
      </c>
      <c r="AA314" s="373" t="s">
        <v>1363</v>
      </c>
      <c r="AB314" s="373" t="s">
        <v>788</v>
      </c>
      <c r="AC314" s="373" t="s">
        <v>1364</v>
      </c>
    </row>
    <row r="315" spans="26:29" ht="20">
      <c r="Z315" s="373">
        <v>299</v>
      </c>
      <c r="AA315" s="373" t="s">
        <v>1365</v>
      </c>
      <c r="AB315" s="373" t="s">
        <v>498</v>
      </c>
      <c r="AC315" s="373" t="s">
        <v>1366</v>
      </c>
    </row>
    <row r="316" spans="26:29" ht="20">
      <c r="Z316" s="373">
        <v>300</v>
      </c>
      <c r="AA316" s="373" t="s">
        <v>1367</v>
      </c>
      <c r="AB316" s="373" t="s">
        <v>793</v>
      </c>
      <c r="AC316" s="373" t="s">
        <v>1368</v>
      </c>
    </row>
    <row r="317" spans="26:29" ht="20">
      <c r="Z317" s="373">
        <v>301</v>
      </c>
      <c r="AA317" s="373" t="s">
        <v>1369</v>
      </c>
      <c r="AB317" s="373" t="s">
        <v>829</v>
      </c>
      <c r="AC317" s="373" t="s">
        <v>1370</v>
      </c>
    </row>
    <row r="318" spans="26:29" ht="20">
      <c r="Z318" s="373">
        <v>302</v>
      </c>
      <c r="AA318" s="373" t="s">
        <v>1371</v>
      </c>
      <c r="AB318" s="373" t="s">
        <v>764</v>
      </c>
      <c r="AC318" s="373" t="s">
        <v>1372</v>
      </c>
    </row>
    <row r="319" spans="26:29" ht="20">
      <c r="Z319" s="373">
        <v>303</v>
      </c>
      <c r="AA319" s="373" t="s">
        <v>1373</v>
      </c>
      <c r="AB319" s="373" t="s">
        <v>939</v>
      </c>
      <c r="AC319" s="373" t="s">
        <v>1374</v>
      </c>
    </row>
    <row r="320" spans="26:29" ht="20">
      <c r="Z320" s="373">
        <v>304</v>
      </c>
      <c r="AA320" s="373" t="s">
        <v>1375</v>
      </c>
      <c r="AB320" s="373" t="s">
        <v>798</v>
      </c>
      <c r="AC320" s="373" t="s">
        <v>1376</v>
      </c>
    </row>
    <row r="321" spans="26:29" ht="20">
      <c r="Z321" s="373">
        <v>305</v>
      </c>
      <c r="AA321" s="373" t="s">
        <v>1377</v>
      </c>
      <c r="AB321" s="373" t="s">
        <v>764</v>
      </c>
      <c r="AC321" s="373" t="s">
        <v>1378</v>
      </c>
    </row>
    <row r="322" spans="26:29" ht="20">
      <c r="Z322" s="373">
        <v>306</v>
      </c>
      <c r="AA322" s="373" t="s">
        <v>1379</v>
      </c>
      <c r="AB322" s="373" t="s">
        <v>758</v>
      </c>
      <c r="AC322" s="373" t="s">
        <v>1380</v>
      </c>
    </row>
    <row r="323" spans="26:29" ht="20">
      <c r="Z323" s="373">
        <v>307</v>
      </c>
      <c r="AA323" s="373" t="s">
        <v>1381</v>
      </c>
      <c r="AB323" s="373" t="s">
        <v>829</v>
      </c>
      <c r="AC323" s="373" t="s">
        <v>664</v>
      </c>
    </row>
    <row r="324" spans="26:29" ht="20">
      <c r="Z324" s="373">
        <v>308</v>
      </c>
      <c r="AA324" s="373" t="s">
        <v>1382</v>
      </c>
      <c r="AB324" s="373" t="s">
        <v>806</v>
      </c>
      <c r="AC324" s="373" t="s">
        <v>1383</v>
      </c>
    </row>
    <row r="325" spans="26:29" ht="20">
      <c r="Z325" s="373">
        <v>309</v>
      </c>
      <c r="AA325" s="373" t="s">
        <v>1384</v>
      </c>
      <c r="AB325" s="373" t="s">
        <v>939</v>
      </c>
      <c r="AC325" s="373" t="s">
        <v>1385</v>
      </c>
    </row>
    <row r="326" spans="26:29" ht="20">
      <c r="Z326" s="373">
        <v>310</v>
      </c>
      <c r="AA326" s="373" t="s">
        <v>1386</v>
      </c>
      <c r="AB326" s="373" t="s">
        <v>758</v>
      </c>
      <c r="AC326" s="373" t="s">
        <v>1387</v>
      </c>
    </row>
    <row r="327" spans="26:29" ht="20">
      <c r="Z327" s="373">
        <v>311</v>
      </c>
      <c r="AA327" s="373" t="s">
        <v>1388</v>
      </c>
      <c r="AB327" s="373" t="s">
        <v>798</v>
      </c>
      <c r="AC327" s="373" t="s">
        <v>1389</v>
      </c>
    </row>
    <row r="328" spans="26:29" ht="20">
      <c r="Z328" s="373">
        <v>312</v>
      </c>
      <c r="AA328" s="373" t="s">
        <v>1390</v>
      </c>
      <c r="AB328" s="373" t="s">
        <v>498</v>
      </c>
      <c r="AC328" s="373" t="s">
        <v>1391</v>
      </c>
    </row>
    <row r="329" spans="26:29" ht="20">
      <c r="Z329" s="373">
        <v>313</v>
      </c>
      <c r="AA329" s="373" t="s">
        <v>1392</v>
      </c>
      <c r="AB329" s="373" t="s">
        <v>801</v>
      </c>
      <c r="AC329" s="373" t="s">
        <v>1393</v>
      </c>
    </row>
    <row r="330" spans="26:29" ht="20">
      <c r="Z330" s="373">
        <v>314</v>
      </c>
      <c r="AA330" s="373" t="s">
        <v>1394</v>
      </c>
      <c r="AB330" s="373" t="s">
        <v>829</v>
      </c>
      <c r="AC330" s="373" t="s">
        <v>1395</v>
      </c>
    </row>
    <row r="331" spans="26:29" ht="20">
      <c r="Z331" s="373">
        <v>315</v>
      </c>
      <c r="AA331" s="373" t="s">
        <v>1396</v>
      </c>
      <c r="AB331" s="373" t="s">
        <v>813</v>
      </c>
      <c r="AC331" s="373" t="s">
        <v>1397</v>
      </c>
    </row>
    <row r="332" spans="26:29" ht="20">
      <c r="Z332" s="373">
        <v>316</v>
      </c>
      <c r="AA332" s="373" t="s">
        <v>1398</v>
      </c>
      <c r="AB332" s="373" t="s">
        <v>758</v>
      </c>
      <c r="AC332" s="373" t="s">
        <v>1399</v>
      </c>
    </row>
    <row r="333" spans="26:29" ht="20">
      <c r="Z333" s="373">
        <v>317</v>
      </c>
      <c r="AA333" s="373" t="s">
        <v>1400</v>
      </c>
      <c r="AB333" s="373" t="s">
        <v>498</v>
      </c>
      <c r="AC333" s="373" t="s">
        <v>1401</v>
      </c>
    </row>
    <row r="334" spans="26:29" ht="20">
      <c r="Z334" s="373">
        <v>318</v>
      </c>
      <c r="AA334" s="373" t="s">
        <v>1402</v>
      </c>
      <c r="AB334" s="373" t="s">
        <v>764</v>
      </c>
      <c r="AC334" s="373" t="s">
        <v>1403</v>
      </c>
    </row>
    <row r="335" spans="26:29" ht="20">
      <c r="Z335" s="373">
        <v>319</v>
      </c>
      <c r="AA335" s="373" t="s">
        <v>1404</v>
      </c>
      <c r="AB335" s="373" t="s">
        <v>806</v>
      </c>
      <c r="AC335" s="373" t="s">
        <v>1405</v>
      </c>
    </row>
    <row r="336" spans="26:29" ht="20">
      <c r="Z336" s="373">
        <v>320</v>
      </c>
      <c r="AA336" s="373" t="s">
        <v>1406</v>
      </c>
      <c r="AB336" s="373" t="s">
        <v>832</v>
      </c>
      <c r="AC336" s="373" t="s">
        <v>1407</v>
      </c>
    </row>
    <row r="337" spans="26:29" ht="20">
      <c r="Z337" s="373">
        <v>321</v>
      </c>
      <c r="AA337" s="373" t="s">
        <v>1408</v>
      </c>
      <c r="AB337" s="373" t="s">
        <v>498</v>
      </c>
      <c r="AC337" s="373" t="s">
        <v>1409</v>
      </c>
    </row>
    <row r="338" spans="26:29" ht="20">
      <c r="Z338" s="373">
        <v>322</v>
      </c>
      <c r="AA338" s="373" t="s">
        <v>1410</v>
      </c>
      <c r="AB338" s="373" t="s">
        <v>829</v>
      </c>
      <c r="AC338" s="373" t="s">
        <v>1411</v>
      </c>
    </row>
    <row r="339" spans="26:29" ht="20">
      <c r="Z339" s="373">
        <v>323</v>
      </c>
      <c r="AA339" s="373" t="s">
        <v>1412</v>
      </c>
      <c r="AB339" s="373" t="s">
        <v>829</v>
      </c>
      <c r="AC339" s="373" t="s">
        <v>1413</v>
      </c>
    </row>
    <row r="340" spans="26:29" ht="20">
      <c r="Z340" s="373">
        <v>324</v>
      </c>
      <c r="AA340" s="373" t="s">
        <v>1414</v>
      </c>
      <c r="AB340" s="373" t="s">
        <v>758</v>
      </c>
      <c r="AC340" s="373" t="s">
        <v>1415</v>
      </c>
    </row>
    <row r="341" spans="26:29" ht="20">
      <c r="Z341" s="373">
        <v>325</v>
      </c>
      <c r="AA341" s="373" t="s">
        <v>1416</v>
      </c>
      <c r="AB341" s="373" t="s">
        <v>813</v>
      </c>
      <c r="AC341" s="373" t="s">
        <v>1417</v>
      </c>
    </row>
    <row r="342" spans="26:29" ht="20">
      <c r="Z342" s="373">
        <v>326</v>
      </c>
      <c r="AA342" s="373" t="s">
        <v>1418</v>
      </c>
      <c r="AB342" s="373" t="s">
        <v>758</v>
      </c>
      <c r="AC342" s="373" t="s">
        <v>1419</v>
      </c>
    </row>
    <row r="343" spans="26:29" ht="20">
      <c r="Z343" s="373">
        <v>327</v>
      </c>
      <c r="AA343" s="373" t="s">
        <v>1420</v>
      </c>
      <c r="AB343" s="373" t="s">
        <v>758</v>
      </c>
      <c r="AC343" s="373" t="s">
        <v>1421</v>
      </c>
    </row>
    <row r="344" spans="26:29" ht="20">
      <c r="Z344" s="373">
        <v>328</v>
      </c>
      <c r="AA344" s="373" t="s">
        <v>1422</v>
      </c>
      <c r="AB344" s="373" t="s">
        <v>498</v>
      </c>
      <c r="AC344" s="373" t="s">
        <v>1423</v>
      </c>
    </row>
    <row r="345" spans="26:29" ht="20">
      <c r="Z345" s="373">
        <v>329</v>
      </c>
      <c r="AA345" s="373" t="s">
        <v>1424</v>
      </c>
      <c r="AB345" s="373" t="s">
        <v>1076</v>
      </c>
      <c r="AC345" s="373" t="s">
        <v>1425</v>
      </c>
    </row>
    <row r="346" spans="26:29" ht="20">
      <c r="Z346" s="373">
        <v>330</v>
      </c>
      <c r="AA346" s="373" t="s">
        <v>1426</v>
      </c>
      <c r="AB346" s="373" t="s">
        <v>1076</v>
      </c>
      <c r="AC346" s="373" t="s">
        <v>1427</v>
      </c>
    </row>
    <row r="347" spans="26:29" ht="20">
      <c r="Z347" s="373">
        <v>331</v>
      </c>
      <c r="AA347" s="373" t="s">
        <v>1428</v>
      </c>
      <c r="AB347" s="373" t="s">
        <v>785</v>
      </c>
      <c r="AC347" s="373" t="s">
        <v>1429</v>
      </c>
    </row>
    <row r="348" spans="26:29" ht="20">
      <c r="Z348" s="373">
        <v>332</v>
      </c>
      <c r="AA348" s="373" t="s">
        <v>1430</v>
      </c>
      <c r="AB348" s="373" t="s">
        <v>785</v>
      </c>
      <c r="AC348" s="373" t="s">
        <v>1431</v>
      </c>
    </row>
    <row r="349" spans="26:29" ht="20">
      <c r="Z349" s="373">
        <v>333</v>
      </c>
      <c r="AA349" s="373" t="s">
        <v>1432</v>
      </c>
      <c r="AB349" s="373" t="s">
        <v>788</v>
      </c>
      <c r="AC349" s="373" t="s">
        <v>1433</v>
      </c>
    </row>
    <row r="350" spans="26:29" ht="20">
      <c r="Z350" s="373">
        <v>334</v>
      </c>
      <c r="AA350" s="373" t="s">
        <v>1434</v>
      </c>
      <c r="AB350" s="373" t="s">
        <v>788</v>
      </c>
      <c r="AC350" s="373" t="s">
        <v>1435</v>
      </c>
    </row>
    <row r="351" spans="26:29" ht="20">
      <c r="Z351" s="373">
        <v>335</v>
      </c>
      <c r="AA351" s="373" t="s">
        <v>1436</v>
      </c>
      <c r="AB351" s="373" t="s">
        <v>785</v>
      </c>
      <c r="AC351" s="373" t="s">
        <v>668</v>
      </c>
    </row>
    <row r="352" spans="26:29" ht="20">
      <c r="Z352" s="373">
        <v>336</v>
      </c>
      <c r="AA352" s="373" t="s">
        <v>1437</v>
      </c>
      <c r="AB352" s="373" t="s">
        <v>498</v>
      </c>
      <c r="AC352" s="373" t="s">
        <v>1438</v>
      </c>
    </row>
    <row r="353" spans="26:29" ht="20">
      <c r="Z353" s="373">
        <v>337</v>
      </c>
      <c r="AA353" s="373" t="s">
        <v>1439</v>
      </c>
      <c r="AB353" s="373" t="s">
        <v>788</v>
      </c>
      <c r="AC353" s="373" t="s">
        <v>1440</v>
      </c>
    </row>
    <row r="354" spans="26:29" ht="20">
      <c r="Z354" s="373">
        <v>338</v>
      </c>
      <c r="AA354" s="373" t="s">
        <v>1441</v>
      </c>
      <c r="AB354" s="373" t="s">
        <v>776</v>
      </c>
      <c r="AC354" s="373" t="s">
        <v>1442</v>
      </c>
    </row>
    <row r="355" spans="26:29" ht="20">
      <c r="Z355" s="373">
        <v>339</v>
      </c>
      <c r="AA355" s="373" t="s">
        <v>1443</v>
      </c>
      <c r="AB355" s="373" t="s">
        <v>801</v>
      </c>
      <c r="AC355" s="373" t="s">
        <v>1444</v>
      </c>
    </row>
    <row r="356" spans="26:29" ht="20">
      <c r="Z356" s="373">
        <v>340</v>
      </c>
      <c r="AA356" s="373" t="s">
        <v>1445</v>
      </c>
      <c r="AB356" s="373" t="s">
        <v>1446</v>
      </c>
      <c r="AC356" s="373" t="s">
        <v>1447</v>
      </c>
    </row>
    <row r="357" spans="26:29" ht="20">
      <c r="Z357" s="373">
        <v>341</v>
      </c>
      <c r="AA357" s="373" t="s">
        <v>1448</v>
      </c>
      <c r="AB357" s="373" t="s">
        <v>758</v>
      </c>
      <c r="AC357" s="373" t="s">
        <v>1449</v>
      </c>
    </row>
    <row r="358" spans="26:29" ht="20">
      <c r="Z358" s="373">
        <v>342</v>
      </c>
      <c r="AA358" s="373" t="s">
        <v>1450</v>
      </c>
      <c r="AB358" s="373" t="s">
        <v>758</v>
      </c>
      <c r="AC358" s="373" t="s">
        <v>1451</v>
      </c>
    </row>
    <row r="359" spans="26:29" ht="20">
      <c r="Z359" s="373">
        <v>343</v>
      </c>
      <c r="AA359" s="373" t="s">
        <v>1452</v>
      </c>
      <c r="AB359" s="373" t="s">
        <v>767</v>
      </c>
      <c r="AC359" s="373" t="s">
        <v>1453</v>
      </c>
    </row>
    <row r="360" spans="26:29" ht="20">
      <c r="Z360" s="373">
        <v>344</v>
      </c>
      <c r="AA360" s="373" t="s">
        <v>1454</v>
      </c>
      <c r="AB360" s="373" t="s">
        <v>939</v>
      </c>
      <c r="AC360" s="373" t="s">
        <v>1455</v>
      </c>
    </row>
    <row r="361" spans="26:29" ht="20">
      <c r="Z361" s="373">
        <v>345</v>
      </c>
      <c r="AA361" s="373" t="s">
        <v>1456</v>
      </c>
      <c r="AB361" s="373" t="s">
        <v>798</v>
      </c>
      <c r="AC361" s="373" t="s">
        <v>705</v>
      </c>
    </row>
    <row r="362" spans="26:29" ht="20">
      <c r="Z362" s="373">
        <v>346</v>
      </c>
      <c r="AA362" s="373" t="s">
        <v>1457</v>
      </c>
      <c r="AB362" s="373" t="s">
        <v>798</v>
      </c>
      <c r="AC362" s="373" t="s">
        <v>1458</v>
      </c>
    </row>
    <row r="363" spans="26:29" ht="20">
      <c r="Z363" s="373">
        <v>347</v>
      </c>
      <c r="AA363" s="373" t="s">
        <v>1459</v>
      </c>
      <c r="AB363" s="373" t="s">
        <v>829</v>
      </c>
      <c r="AC363" s="373" t="s">
        <v>1460</v>
      </c>
    </row>
    <row r="364" spans="26:29" ht="20">
      <c r="Z364" s="373">
        <v>348</v>
      </c>
      <c r="AA364" s="373" t="s">
        <v>1461</v>
      </c>
      <c r="AB364" s="373" t="s">
        <v>758</v>
      </c>
      <c r="AC364" s="373" t="s">
        <v>1462</v>
      </c>
    </row>
    <row r="365" spans="26:29" ht="20">
      <c r="Z365" s="373">
        <v>349</v>
      </c>
      <c r="AA365" s="373" t="s">
        <v>1463</v>
      </c>
      <c r="AB365" s="373" t="s">
        <v>813</v>
      </c>
      <c r="AC365" s="373" t="s">
        <v>1464</v>
      </c>
    </row>
    <row r="366" spans="26:29" ht="20">
      <c r="Z366" s="373">
        <v>350</v>
      </c>
      <c r="AA366" s="373" t="s">
        <v>1465</v>
      </c>
      <c r="AB366" s="373" t="s">
        <v>758</v>
      </c>
      <c r="AC366" s="373" t="s">
        <v>1466</v>
      </c>
    </row>
    <row r="367" spans="26:29" ht="20">
      <c r="Z367" s="373">
        <v>351</v>
      </c>
      <c r="AA367" s="373" t="s">
        <v>1467</v>
      </c>
      <c r="AB367" s="373" t="s">
        <v>776</v>
      </c>
      <c r="AC367" s="373" t="s">
        <v>1468</v>
      </c>
    </row>
    <row r="368" spans="26:29" ht="20">
      <c r="Z368" s="373">
        <v>352</v>
      </c>
      <c r="AA368" s="373" t="s">
        <v>1469</v>
      </c>
      <c r="AB368" s="373" t="s">
        <v>776</v>
      </c>
      <c r="AC368" s="373" t="s">
        <v>1470</v>
      </c>
    </row>
    <row r="369" spans="26:29" ht="20">
      <c r="Z369" s="373">
        <v>353</v>
      </c>
      <c r="AA369" s="373" t="s">
        <v>1471</v>
      </c>
      <c r="AB369" s="373" t="s">
        <v>758</v>
      </c>
      <c r="AC369" s="373" t="s">
        <v>1472</v>
      </c>
    </row>
    <row r="370" spans="26:29" ht="20">
      <c r="Z370" s="373">
        <v>354</v>
      </c>
      <c r="AA370" s="373" t="s">
        <v>1473</v>
      </c>
      <c r="AB370" s="373" t="s">
        <v>1076</v>
      </c>
      <c r="AC370" s="373" t="s">
        <v>1474</v>
      </c>
    </row>
    <row r="371" spans="26:29" ht="20">
      <c r="Z371" s="373">
        <v>355</v>
      </c>
      <c r="AA371" s="373" t="s">
        <v>1475</v>
      </c>
      <c r="AB371" s="373" t="s">
        <v>1446</v>
      </c>
      <c r="AC371" s="373" t="s">
        <v>1476</v>
      </c>
    </row>
    <row r="372" spans="26:29" ht="20">
      <c r="Z372" s="373">
        <v>356</v>
      </c>
      <c r="AA372" s="373" t="s">
        <v>1477</v>
      </c>
      <c r="AB372" s="373" t="s">
        <v>826</v>
      </c>
      <c r="AC372" s="373" t="s">
        <v>1478</v>
      </c>
    </row>
    <row r="373" spans="26:29" ht="20">
      <c r="Z373" s="373">
        <v>357</v>
      </c>
      <c r="AA373" s="373" t="s">
        <v>1479</v>
      </c>
      <c r="AB373" s="373" t="s">
        <v>801</v>
      </c>
      <c r="AC373" s="373" t="s">
        <v>1480</v>
      </c>
    </row>
    <row r="374" spans="26:29" ht="20">
      <c r="Z374" s="373">
        <v>358</v>
      </c>
      <c r="AA374" s="373" t="s">
        <v>1481</v>
      </c>
      <c r="AB374" s="373" t="s">
        <v>813</v>
      </c>
      <c r="AC374" s="373" t="s">
        <v>1482</v>
      </c>
    </row>
    <row r="375" spans="26:29" ht="20">
      <c r="Z375" s="373">
        <v>359</v>
      </c>
      <c r="AA375" s="373" t="s">
        <v>1483</v>
      </c>
      <c r="AB375" s="373" t="s">
        <v>798</v>
      </c>
      <c r="AC375" s="373" t="s">
        <v>1484</v>
      </c>
    </row>
    <row r="376" spans="26:29" ht="20">
      <c r="Z376" s="373">
        <v>360</v>
      </c>
      <c r="AA376" s="373" t="s">
        <v>1485</v>
      </c>
      <c r="AB376" s="373" t="s">
        <v>939</v>
      </c>
      <c r="AC376" s="373" t="s">
        <v>1486</v>
      </c>
    </row>
    <row r="377" spans="26:29" ht="20">
      <c r="Z377" s="373">
        <v>361</v>
      </c>
      <c r="AA377" s="373" t="s">
        <v>1487</v>
      </c>
      <c r="AB377" s="373" t="s">
        <v>776</v>
      </c>
      <c r="AC377" s="373" t="s">
        <v>1488</v>
      </c>
    </row>
    <row r="378" spans="26:29" ht="20">
      <c r="Z378" s="373">
        <v>362</v>
      </c>
      <c r="AA378" s="373" t="s">
        <v>1489</v>
      </c>
      <c r="AB378" s="373" t="s">
        <v>758</v>
      </c>
      <c r="AC378" s="373" t="s">
        <v>1490</v>
      </c>
    </row>
    <row r="379" spans="26:29" ht="20">
      <c r="Z379" s="373">
        <v>363</v>
      </c>
      <c r="AA379" s="373" t="s">
        <v>1491</v>
      </c>
      <c r="AB379" s="373" t="s">
        <v>498</v>
      </c>
      <c r="AC379" s="373" t="s">
        <v>1492</v>
      </c>
    </row>
    <row r="380" spans="26:29" ht="20">
      <c r="Z380" s="373">
        <v>364</v>
      </c>
      <c r="AA380" s="373" t="s">
        <v>1493</v>
      </c>
      <c r="AB380" s="373" t="s">
        <v>498</v>
      </c>
      <c r="AC380" s="373" t="s">
        <v>1494</v>
      </c>
    </row>
    <row r="381" spans="26:29" ht="20">
      <c r="Z381" s="373">
        <v>365</v>
      </c>
      <c r="AA381" s="373" t="s">
        <v>1495</v>
      </c>
      <c r="AB381" s="373" t="s">
        <v>764</v>
      </c>
      <c r="AC381" s="373" t="s">
        <v>1496</v>
      </c>
    </row>
    <row r="382" spans="26:29" ht="20">
      <c r="Z382" s="373">
        <v>366</v>
      </c>
      <c r="AA382" s="373" t="s">
        <v>1497</v>
      </c>
      <c r="AB382" s="373" t="s">
        <v>758</v>
      </c>
      <c r="AC382" s="373" t="s">
        <v>1498</v>
      </c>
    </row>
    <row r="383" spans="26:29" ht="20">
      <c r="Z383" s="373">
        <v>367</v>
      </c>
      <c r="AA383" s="373" t="s">
        <v>1499</v>
      </c>
      <c r="AB383" s="373" t="s">
        <v>758</v>
      </c>
      <c r="AC383" s="373" t="s">
        <v>1500</v>
      </c>
    </row>
    <row r="384" spans="26:29" ht="20">
      <c r="Z384" s="373">
        <v>368</v>
      </c>
      <c r="AA384" s="373" t="s">
        <v>1501</v>
      </c>
      <c r="AB384" s="373" t="s">
        <v>785</v>
      </c>
      <c r="AC384" s="373" t="s">
        <v>1502</v>
      </c>
    </row>
    <row r="385" spans="26:29" ht="20">
      <c r="Z385" s="373">
        <v>369</v>
      </c>
      <c r="AA385" s="373" t="s">
        <v>1503</v>
      </c>
      <c r="AB385" s="373" t="s">
        <v>764</v>
      </c>
      <c r="AC385" s="373" t="s">
        <v>1504</v>
      </c>
    </row>
    <row r="386" spans="26:29" ht="20">
      <c r="Z386" s="373">
        <v>370</v>
      </c>
      <c r="AA386" s="373" t="s">
        <v>1505</v>
      </c>
      <c r="AB386" s="373" t="s">
        <v>939</v>
      </c>
      <c r="AC386" s="373" t="s">
        <v>1506</v>
      </c>
    </row>
    <row r="387" spans="26:29" ht="20">
      <c r="Z387" s="373">
        <v>371</v>
      </c>
      <c r="AA387" s="373" t="s">
        <v>1507</v>
      </c>
      <c r="AB387" s="373" t="s">
        <v>764</v>
      </c>
      <c r="AC387" s="373" t="s">
        <v>1508</v>
      </c>
    </row>
    <row r="388" spans="26:29" ht="20">
      <c r="Z388" s="373">
        <v>372</v>
      </c>
      <c r="AA388" s="373" t="s">
        <v>1509</v>
      </c>
      <c r="AB388" s="373" t="s">
        <v>767</v>
      </c>
      <c r="AC388" s="373" t="s">
        <v>1510</v>
      </c>
    </row>
    <row r="389" spans="26:29" ht="20">
      <c r="Z389" s="373">
        <v>373</v>
      </c>
      <c r="AA389" s="373" t="s">
        <v>1511</v>
      </c>
      <c r="AB389" s="373" t="s">
        <v>801</v>
      </c>
      <c r="AC389" s="373" t="s">
        <v>1512</v>
      </c>
    </row>
    <row r="390" spans="26:29" ht="20">
      <c r="Z390" s="373">
        <v>374</v>
      </c>
      <c r="AA390" s="373" t="s">
        <v>1513</v>
      </c>
      <c r="AB390" s="373" t="s">
        <v>758</v>
      </c>
      <c r="AC390" s="373" t="s">
        <v>1514</v>
      </c>
    </row>
    <row r="391" spans="26:29" ht="20">
      <c r="Z391" s="373">
        <v>375</v>
      </c>
      <c r="AA391" s="373" t="s">
        <v>1515</v>
      </c>
      <c r="AB391" s="373" t="s">
        <v>793</v>
      </c>
      <c r="AC391" s="373" t="s">
        <v>1516</v>
      </c>
    </row>
    <row r="392" spans="26:29" ht="20">
      <c r="Z392" s="373">
        <v>376</v>
      </c>
      <c r="AA392" s="373" t="s">
        <v>1517</v>
      </c>
      <c r="AB392" s="373" t="s">
        <v>764</v>
      </c>
      <c r="AC392" s="373" t="s">
        <v>1518</v>
      </c>
    </row>
    <row r="393" spans="26:29" ht="20">
      <c r="Z393" s="373">
        <v>377</v>
      </c>
      <c r="AA393" s="373" t="s">
        <v>1519</v>
      </c>
      <c r="AB393" s="373" t="s">
        <v>758</v>
      </c>
      <c r="AC393" s="373" t="s">
        <v>1520</v>
      </c>
    </row>
    <row r="394" spans="26:29" ht="20">
      <c r="Z394" s="373">
        <v>378</v>
      </c>
      <c r="AA394" s="373" t="s">
        <v>1521</v>
      </c>
      <c r="AB394" s="373" t="s">
        <v>758</v>
      </c>
      <c r="AC394" s="373" t="s">
        <v>1522</v>
      </c>
    </row>
    <row r="395" spans="26:29" ht="20">
      <c r="Z395" s="373">
        <v>379</v>
      </c>
      <c r="AA395" s="373" t="s">
        <v>1523</v>
      </c>
      <c r="AB395" s="373" t="s">
        <v>764</v>
      </c>
      <c r="AC395" s="373" t="s">
        <v>1524</v>
      </c>
    </row>
    <row r="396" spans="26:29" ht="20">
      <c r="Z396" s="373">
        <v>380</v>
      </c>
      <c r="AA396" s="373" t="s">
        <v>1525</v>
      </c>
      <c r="AB396" s="373" t="s">
        <v>1076</v>
      </c>
      <c r="AC396" s="373" t="s">
        <v>1526</v>
      </c>
    </row>
    <row r="397" spans="26:29" ht="20">
      <c r="Z397" s="373">
        <v>381</v>
      </c>
      <c r="AA397" s="373" t="s">
        <v>1527</v>
      </c>
      <c r="AB397" s="373" t="s">
        <v>801</v>
      </c>
      <c r="AC397" s="373" t="s">
        <v>1528</v>
      </c>
    </row>
    <row r="398" spans="26:29" ht="20">
      <c r="Z398" s="373">
        <v>382</v>
      </c>
      <c r="AA398" s="373" t="s">
        <v>1529</v>
      </c>
      <c r="AB398" s="373" t="s">
        <v>1076</v>
      </c>
      <c r="AC398" s="373" t="s">
        <v>1530</v>
      </c>
    </row>
    <row r="399" spans="26:29" ht="20">
      <c r="Z399" s="373">
        <v>383</v>
      </c>
      <c r="AA399" s="373" t="s">
        <v>1531</v>
      </c>
      <c r="AB399" s="373" t="s">
        <v>918</v>
      </c>
      <c r="AC399" s="373" t="s">
        <v>1532</v>
      </c>
    </row>
    <row r="400" spans="26:29" ht="20">
      <c r="Z400" s="373">
        <v>384</v>
      </c>
      <c r="AA400" s="373" t="s">
        <v>1533</v>
      </c>
      <c r="AB400" s="373" t="s">
        <v>498</v>
      </c>
      <c r="AC400" s="373" t="s">
        <v>1534</v>
      </c>
    </row>
    <row r="401" spans="26:29" ht="20">
      <c r="Z401" s="373">
        <v>385</v>
      </c>
      <c r="AA401" s="373" t="s">
        <v>1535</v>
      </c>
      <c r="AB401" s="373" t="s">
        <v>832</v>
      </c>
      <c r="AC401" s="373" t="s">
        <v>1536</v>
      </c>
    </row>
    <row r="402" spans="26:29" ht="20">
      <c r="Z402" s="373">
        <v>386</v>
      </c>
      <c r="AA402" s="373" t="s">
        <v>1537</v>
      </c>
      <c r="AB402" s="373" t="s">
        <v>829</v>
      </c>
      <c r="AC402" s="373" t="s">
        <v>1538</v>
      </c>
    </row>
    <row r="403" spans="26:29" ht="20">
      <c r="Z403" s="373">
        <v>387</v>
      </c>
      <c r="AA403" s="373" t="s">
        <v>1539</v>
      </c>
      <c r="AB403" s="373" t="s">
        <v>776</v>
      </c>
      <c r="AC403" s="373" t="s">
        <v>1540</v>
      </c>
    </row>
    <row r="404" spans="26:29" ht="20">
      <c r="Z404" s="373">
        <v>388</v>
      </c>
      <c r="AA404" s="373" t="s">
        <v>1541</v>
      </c>
      <c r="AB404" s="373" t="s">
        <v>764</v>
      </c>
      <c r="AC404" s="373" t="s">
        <v>1542</v>
      </c>
    </row>
    <row r="405" spans="26:29" ht="20">
      <c r="Z405" s="373">
        <v>389</v>
      </c>
      <c r="AA405" s="373" t="s">
        <v>1543</v>
      </c>
      <c r="AB405" s="373" t="s">
        <v>806</v>
      </c>
      <c r="AC405" s="373" t="s">
        <v>1544</v>
      </c>
    </row>
    <row r="406" spans="26:29" ht="20">
      <c r="Z406" s="373">
        <v>390</v>
      </c>
      <c r="AA406" s="373" t="s">
        <v>1545</v>
      </c>
      <c r="AB406" s="373" t="s">
        <v>826</v>
      </c>
      <c r="AC406" s="373" t="s">
        <v>1546</v>
      </c>
    </row>
    <row r="407" spans="26:29" ht="20">
      <c r="Z407" s="373">
        <v>391</v>
      </c>
      <c r="AA407" s="373" t="s">
        <v>1547</v>
      </c>
      <c r="AB407" s="373" t="s">
        <v>793</v>
      </c>
      <c r="AC407" s="373" t="s">
        <v>1548</v>
      </c>
    </row>
    <row r="408" spans="26:29" ht="20">
      <c r="Z408" s="373">
        <v>392</v>
      </c>
      <c r="AA408" s="373" t="s">
        <v>1549</v>
      </c>
      <c r="AB408" s="373" t="s">
        <v>798</v>
      </c>
      <c r="AC408" s="373" t="s">
        <v>1550</v>
      </c>
    </row>
    <row r="409" spans="26:29" ht="20">
      <c r="Z409" s="373">
        <v>393</v>
      </c>
      <c r="AA409" s="373" t="s">
        <v>1551</v>
      </c>
      <c r="AB409" s="373" t="s">
        <v>806</v>
      </c>
      <c r="AC409" s="373" t="s">
        <v>1552</v>
      </c>
    </row>
    <row r="410" spans="26:29" ht="20">
      <c r="Z410" s="373">
        <v>394</v>
      </c>
      <c r="AA410" s="373" t="s">
        <v>1553</v>
      </c>
      <c r="AB410" s="373" t="s">
        <v>918</v>
      </c>
      <c r="AC410" s="373" t="s">
        <v>1554</v>
      </c>
    </row>
    <row r="411" spans="26:29" ht="20">
      <c r="Z411" s="373">
        <v>395</v>
      </c>
      <c r="AA411" s="373" t="s">
        <v>1555</v>
      </c>
      <c r="AB411" s="373" t="s">
        <v>758</v>
      </c>
      <c r="AC411" s="373" t="s">
        <v>1556</v>
      </c>
    </row>
    <row r="412" spans="26:29" ht="20">
      <c r="Z412" s="373">
        <v>396</v>
      </c>
      <c r="AA412" s="373" t="s">
        <v>1557</v>
      </c>
      <c r="AB412" s="373" t="s">
        <v>758</v>
      </c>
      <c r="AC412" s="373" t="s">
        <v>1558</v>
      </c>
    </row>
    <row r="413" spans="26:29" ht="20">
      <c r="Z413" s="373">
        <v>397</v>
      </c>
      <c r="AA413" s="373" t="s">
        <v>1559</v>
      </c>
      <c r="AB413" s="373" t="s">
        <v>758</v>
      </c>
      <c r="AC413" s="373" t="s">
        <v>1560</v>
      </c>
    </row>
    <row r="414" spans="26:29" ht="20">
      <c r="Z414" s="373">
        <v>398</v>
      </c>
      <c r="AA414" s="373" t="s">
        <v>1561</v>
      </c>
      <c r="AB414" s="373" t="s">
        <v>785</v>
      </c>
      <c r="AC414" s="373" t="s">
        <v>1562</v>
      </c>
    </row>
    <row r="415" spans="26:29" ht="20">
      <c r="Z415" s="373">
        <v>399</v>
      </c>
      <c r="AA415" s="373" t="s">
        <v>1563</v>
      </c>
      <c r="AB415" s="373" t="s">
        <v>764</v>
      </c>
      <c r="AC415" s="373" t="s">
        <v>1564</v>
      </c>
    </row>
    <row r="416" spans="26:29" ht="20">
      <c r="Z416" s="373">
        <v>400</v>
      </c>
      <c r="AA416" s="373" t="s">
        <v>1565</v>
      </c>
      <c r="AB416" s="373" t="s">
        <v>776</v>
      </c>
      <c r="AC416" s="373" t="s">
        <v>1566</v>
      </c>
    </row>
    <row r="417" spans="26:29" ht="20">
      <c r="Z417" s="373">
        <v>401</v>
      </c>
      <c r="AA417" s="373" t="s">
        <v>1567</v>
      </c>
      <c r="AB417" s="373" t="s">
        <v>832</v>
      </c>
      <c r="AC417" s="373" t="s">
        <v>1568</v>
      </c>
    </row>
    <row r="418" spans="26:29" ht="20">
      <c r="Z418" s="373">
        <v>402</v>
      </c>
      <c r="AA418" s="373" t="s">
        <v>1569</v>
      </c>
      <c r="AB418" s="373" t="s">
        <v>758</v>
      </c>
      <c r="AC418" s="373" t="s">
        <v>1570</v>
      </c>
    </row>
    <row r="419" spans="26:29" ht="20">
      <c r="Z419" s="373">
        <v>403</v>
      </c>
      <c r="AA419" s="373" t="s">
        <v>1571</v>
      </c>
      <c r="AB419" s="373" t="s">
        <v>829</v>
      </c>
      <c r="AC419" s="373" t="s">
        <v>1572</v>
      </c>
    </row>
    <row r="420" spans="26:29" ht="20">
      <c r="Z420" s="373">
        <v>404</v>
      </c>
      <c r="AA420" s="373" t="s">
        <v>1573</v>
      </c>
      <c r="AB420" s="373" t="s">
        <v>498</v>
      </c>
      <c r="AC420" s="373" t="s">
        <v>1574</v>
      </c>
    </row>
    <row r="421" spans="26:29" ht="20">
      <c r="Z421" s="373">
        <v>405</v>
      </c>
      <c r="AA421" s="373" t="s">
        <v>1575</v>
      </c>
      <c r="AB421" s="373" t="s">
        <v>806</v>
      </c>
      <c r="AC421" s="373" t="s">
        <v>1576</v>
      </c>
    </row>
    <row r="422" spans="26:29" ht="20">
      <c r="Z422" s="373">
        <v>406</v>
      </c>
      <c r="AA422" s="373" t="s">
        <v>1577</v>
      </c>
      <c r="AB422" s="373" t="s">
        <v>1446</v>
      </c>
      <c r="AC422" s="373" t="s">
        <v>1578</v>
      </c>
    </row>
    <row r="423" spans="26:29" ht="20">
      <c r="Z423" s="373">
        <v>407</v>
      </c>
      <c r="AA423" s="373" t="s">
        <v>1579</v>
      </c>
      <c r="AB423" s="373" t="s">
        <v>829</v>
      </c>
      <c r="AC423" s="373" t="s">
        <v>1580</v>
      </c>
    </row>
    <row r="424" spans="26:29" ht="20">
      <c r="Z424" s="373">
        <v>408</v>
      </c>
      <c r="AA424" s="373" t="s">
        <v>1581</v>
      </c>
      <c r="AB424" s="373" t="s">
        <v>764</v>
      </c>
      <c r="AC424" s="373" t="s">
        <v>1582</v>
      </c>
    </row>
    <row r="425" spans="26:29" ht="20">
      <c r="Z425" s="373">
        <v>409</v>
      </c>
      <c r="AA425" s="373" t="s">
        <v>1583</v>
      </c>
      <c r="AB425" s="373" t="s">
        <v>767</v>
      </c>
      <c r="AC425" s="373" t="s">
        <v>1584</v>
      </c>
    </row>
    <row r="426" spans="26:29" ht="20">
      <c r="Z426" s="373">
        <v>410</v>
      </c>
      <c r="AA426" s="373" t="s">
        <v>1585</v>
      </c>
      <c r="AB426" s="373" t="s">
        <v>801</v>
      </c>
      <c r="AC426" s="373" t="s">
        <v>1586</v>
      </c>
    </row>
    <row r="427" spans="26:29" ht="20">
      <c r="Z427" s="373">
        <v>411</v>
      </c>
      <c r="AA427" s="373" t="s">
        <v>1587</v>
      </c>
      <c r="AB427" s="373" t="s">
        <v>758</v>
      </c>
      <c r="AC427" s="373" t="s">
        <v>1588</v>
      </c>
    </row>
    <row r="428" spans="26:29" ht="20">
      <c r="Z428" s="373">
        <v>412</v>
      </c>
      <c r="AA428" s="373" t="s">
        <v>1589</v>
      </c>
      <c r="AB428" s="373" t="s">
        <v>764</v>
      </c>
      <c r="AC428" s="373" t="s">
        <v>1590</v>
      </c>
    </row>
    <row r="429" spans="26:29" ht="20">
      <c r="Z429" s="373">
        <v>413</v>
      </c>
      <c r="AA429" s="373" t="s">
        <v>1591</v>
      </c>
      <c r="AB429" s="373" t="s">
        <v>764</v>
      </c>
      <c r="AC429" s="373" t="s">
        <v>1592</v>
      </c>
    </row>
    <row r="430" spans="26:29" ht="20">
      <c r="Z430" s="373">
        <v>414</v>
      </c>
      <c r="AA430" s="373" t="s">
        <v>1593</v>
      </c>
      <c r="AB430" s="373" t="s">
        <v>939</v>
      </c>
      <c r="AC430" s="373" t="s">
        <v>1594</v>
      </c>
    </row>
    <row r="431" spans="26:29" ht="20">
      <c r="Z431" s="373">
        <v>415</v>
      </c>
      <c r="AA431" s="373" t="s">
        <v>1595</v>
      </c>
      <c r="AB431" s="373" t="s">
        <v>939</v>
      </c>
      <c r="AC431" s="373" t="s">
        <v>1596</v>
      </c>
    </row>
    <row r="432" spans="26:29" ht="20">
      <c r="Z432" s="373">
        <v>416</v>
      </c>
      <c r="AA432" s="373" t="s">
        <v>1597</v>
      </c>
      <c r="AB432" s="373" t="s">
        <v>776</v>
      </c>
      <c r="AC432" s="373" t="s">
        <v>1598</v>
      </c>
    </row>
    <row r="433" spans="26:29" ht="20">
      <c r="Z433" s="373">
        <v>417</v>
      </c>
      <c r="AA433" s="373" t="s">
        <v>1599</v>
      </c>
      <c r="AB433" s="373" t="s">
        <v>829</v>
      </c>
      <c r="AC433" s="373" t="s">
        <v>1600</v>
      </c>
    </row>
    <row r="434" spans="26:29" ht="20">
      <c r="Z434" s="373">
        <v>418</v>
      </c>
      <c r="AA434" s="373" t="s">
        <v>1601</v>
      </c>
      <c r="AB434" s="373" t="s">
        <v>813</v>
      </c>
      <c r="AC434" s="373" t="s">
        <v>1602</v>
      </c>
    </row>
    <row r="435" spans="26:29" ht="20">
      <c r="Z435" s="373">
        <v>419</v>
      </c>
      <c r="AA435" s="373" t="s">
        <v>1603</v>
      </c>
      <c r="AB435" s="373" t="s">
        <v>758</v>
      </c>
      <c r="AC435" s="373" t="s">
        <v>1604</v>
      </c>
    </row>
    <row r="436" spans="26:29" ht="20">
      <c r="Z436" s="373">
        <v>420</v>
      </c>
      <c r="AA436" s="373" t="s">
        <v>1605</v>
      </c>
      <c r="AB436" s="373" t="s">
        <v>758</v>
      </c>
      <c r="AC436" s="373" t="s">
        <v>1606</v>
      </c>
    </row>
    <row r="437" spans="26:29" ht="20">
      <c r="Z437" s="373">
        <v>421</v>
      </c>
      <c r="AA437" s="373" t="s">
        <v>1607</v>
      </c>
      <c r="AB437" s="373" t="s">
        <v>788</v>
      </c>
      <c r="AC437" s="373" t="s">
        <v>1608</v>
      </c>
    </row>
    <row r="438" spans="26:29" ht="20">
      <c r="Z438" s="373">
        <v>422</v>
      </c>
      <c r="AA438" s="373" t="s">
        <v>1609</v>
      </c>
      <c r="AB438" s="373" t="s">
        <v>1076</v>
      </c>
      <c r="AC438" s="373" t="s">
        <v>1610</v>
      </c>
    </row>
    <row r="439" spans="26:29" ht="20">
      <c r="Z439" s="373">
        <v>423</v>
      </c>
      <c r="AA439" s="373" t="s">
        <v>1611</v>
      </c>
      <c r="AB439" s="373" t="s">
        <v>918</v>
      </c>
      <c r="AC439" s="373" t="s">
        <v>1612</v>
      </c>
    </row>
    <row r="440" spans="26:29" ht="20">
      <c r="Z440" s="373">
        <v>424</v>
      </c>
      <c r="AA440" s="373" t="s">
        <v>1613</v>
      </c>
      <c r="AB440" s="373" t="s">
        <v>776</v>
      </c>
      <c r="AC440" s="373" t="s">
        <v>1614</v>
      </c>
    </row>
    <row r="441" spans="26:29" ht="20">
      <c r="Z441" s="373">
        <v>425</v>
      </c>
      <c r="AA441" s="373" t="s">
        <v>1615</v>
      </c>
      <c r="AB441" s="373" t="s">
        <v>498</v>
      </c>
      <c r="AC441" s="373" t="s">
        <v>1616</v>
      </c>
    </row>
    <row r="442" spans="26:29" ht="20">
      <c r="Z442" s="373">
        <v>426</v>
      </c>
      <c r="AA442" s="373" t="s">
        <v>1617</v>
      </c>
      <c r="AB442" s="373" t="s">
        <v>498</v>
      </c>
      <c r="AC442" s="373" t="s">
        <v>1618</v>
      </c>
    </row>
    <row r="443" spans="26:29" ht="20">
      <c r="Z443" s="373">
        <v>427</v>
      </c>
      <c r="AA443" s="373" t="s">
        <v>1619</v>
      </c>
      <c r="AB443" s="373" t="s">
        <v>1446</v>
      </c>
      <c r="AC443" s="373" t="s">
        <v>1620</v>
      </c>
    </row>
    <row r="444" spans="26:29" ht="20">
      <c r="Z444" s="373">
        <v>428</v>
      </c>
      <c r="AA444" s="373" t="s">
        <v>1621</v>
      </c>
      <c r="AB444" s="373" t="s">
        <v>758</v>
      </c>
      <c r="AC444" s="373" t="s">
        <v>1622</v>
      </c>
    </row>
    <row r="445" spans="26:29" ht="20">
      <c r="Z445" s="373">
        <v>429</v>
      </c>
      <c r="AA445" s="373" t="s">
        <v>1623</v>
      </c>
      <c r="AB445" s="373" t="s">
        <v>829</v>
      </c>
      <c r="AC445" s="373" t="s">
        <v>1624</v>
      </c>
    </row>
    <row r="446" spans="26:29" ht="20">
      <c r="Z446" s="373">
        <v>430</v>
      </c>
      <c r="AA446" s="373" t="s">
        <v>1625</v>
      </c>
      <c r="AB446" s="373" t="s">
        <v>939</v>
      </c>
      <c r="AC446" s="373" t="s">
        <v>1626</v>
      </c>
    </row>
    <row r="447" spans="26:29" ht="20">
      <c r="Z447" s="373">
        <v>431</v>
      </c>
      <c r="AA447" s="373" t="s">
        <v>1627</v>
      </c>
      <c r="AB447" s="373" t="s">
        <v>764</v>
      </c>
      <c r="AC447" s="373" t="s">
        <v>1628</v>
      </c>
    </row>
    <row r="448" spans="26:29" ht="20">
      <c r="Z448" s="373">
        <v>432</v>
      </c>
      <c r="AA448" s="373" t="s">
        <v>1629</v>
      </c>
      <c r="AB448" s="373" t="s">
        <v>498</v>
      </c>
      <c r="AC448" s="373" t="s">
        <v>1630</v>
      </c>
    </row>
    <row r="449" spans="26:29" ht="20">
      <c r="Z449" s="373">
        <v>433</v>
      </c>
      <c r="AA449" s="373" t="s">
        <v>1631</v>
      </c>
      <c r="AB449" s="373" t="s">
        <v>764</v>
      </c>
      <c r="AC449" s="373" t="s">
        <v>1632</v>
      </c>
    </row>
    <row r="450" spans="26:29" ht="20">
      <c r="Z450" s="373">
        <v>434</v>
      </c>
      <c r="AA450" s="373" t="s">
        <v>1633</v>
      </c>
      <c r="AB450" s="373" t="s">
        <v>761</v>
      </c>
      <c r="AC450" s="373" t="s">
        <v>1634</v>
      </c>
    </row>
    <row r="451" spans="26:29" ht="20">
      <c r="Z451" s="373">
        <v>435</v>
      </c>
      <c r="AA451" s="373" t="s">
        <v>1635</v>
      </c>
      <c r="AB451" s="373" t="s">
        <v>498</v>
      </c>
      <c r="AC451" s="373" t="s">
        <v>1636</v>
      </c>
    </row>
    <row r="452" spans="26:29" ht="20">
      <c r="Z452" s="373">
        <v>436</v>
      </c>
      <c r="AA452" s="373" t="s">
        <v>1637</v>
      </c>
      <c r="AB452" s="373" t="s">
        <v>764</v>
      </c>
      <c r="AC452" s="373" t="s">
        <v>1638</v>
      </c>
    </row>
    <row r="453" spans="26:29" ht="20">
      <c r="Z453" s="373">
        <v>437</v>
      </c>
      <c r="AA453" s="373" t="s">
        <v>1639</v>
      </c>
      <c r="AB453" s="373" t="s">
        <v>806</v>
      </c>
      <c r="AC453" s="373" t="s">
        <v>1640</v>
      </c>
    </row>
    <row r="454" spans="26:29" ht="20">
      <c r="Z454" s="373">
        <v>438</v>
      </c>
      <c r="AA454" s="373" t="s">
        <v>1641</v>
      </c>
      <c r="AB454" s="373" t="s">
        <v>829</v>
      </c>
      <c r="AC454" s="373" t="s">
        <v>1642</v>
      </c>
    </row>
    <row r="455" spans="26:29" ht="20">
      <c r="Z455" s="373">
        <v>439</v>
      </c>
      <c r="AA455" s="373" t="s">
        <v>1643</v>
      </c>
      <c r="AB455" s="373" t="s">
        <v>793</v>
      </c>
      <c r="AC455" s="373" t="s">
        <v>1644</v>
      </c>
    </row>
    <row r="456" spans="26:29" ht="20">
      <c r="Z456" s="373">
        <v>440</v>
      </c>
      <c r="AA456" s="373" t="s">
        <v>1645</v>
      </c>
      <c r="AB456" s="373" t="s">
        <v>758</v>
      </c>
      <c r="AC456" s="373" t="s">
        <v>1646</v>
      </c>
    </row>
    <row r="457" spans="26:29" ht="20">
      <c r="Z457" s="373">
        <v>441</v>
      </c>
      <c r="AA457" s="373" t="s">
        <v>1647</v>
      </c>
      <c r="AB457" s="373" t="s">
        <v>813</v>
      </c>
      <c r="AC457" s="373" t="s">
        <v>1648</v>
      </c>
    </row>
    <row r="458" spans="26:29" ht="20">
      <c r="Z458" s="373">
        <v>442</v>
      </c>
      <c r="AA458" s="373" t="s">
        <v>1649</v>
      </c>
      <c r="AB458" s="373" t="s">
        <v>776</v>
      </c>
      <c r="AC458" s="373" t="s">
        <v>1650</v>
      </c>
    </row>
    <row r="459" spans="26:29" ht="20">
      <c r="Z459" s="373">
        <v>443</v>
      </c>
      <c r="AA459" s="373" t="s">
        <v>1651</v>
      </c>
      <c r="AB459" s="373" t="s">
        <v>918</v>
      </c>
      <c r="AC459" s="373" t="s">
        <v>1652</v>
      </c>
    </row>
    <row r="460" spans="26:29" ht="20">
      <c r="Z460" s="373">
        <v>444</v>
      </c>
      <c r="AA460" s="373"/>
      <c r="AB460" s="373" t="s">
        <v>813</v>
      </c>
      <c r="AC460" s="373" t="s">
        <v>145</v>
      </c>
    </row>
    <row r="461" spans="26:29" ht="20">
      <c r="Z461" s="373">
        <v>445</v>
      </c>
      <c r="AA461" s="373" t="s">
        <v>1653</v>
      </c>
      <c r="AB461" s="373" t="s">
        <v>801</v>
      </c>
      <c r="AC461" s="373" t="s">
        <v>1654</v>
      </c>
    </row>
    <row r="462" spans="26:29" ht="20">
      <c r="Z462" s="373">
        <v>446</v>
      </c>
      <c r="AA462" s="373" t="s">
        <v>1655</v>
      </c>
      <c r="AB462" s="373" t="s">
        <v>813</v>
      </c>
      <c r="AC462" s="373" t="s">
        <v>1656</v>
      </c>
    </row>
    <row r="463" spans="26:29" ht="20">
      <c r="Z463" s="373">
        <v>447</v>
      </c>
      <c r="AA463" s="373" t="s">
        <v>1657</v>
      </c>
      <c r="AB463" s="373" t="s">
        <v>758</v>
      </c>
      <c r="AC463" s="373" t="s">
        <v>1658</v>
      </c>
    </row>
    <row r="464" spans="26:29" ht="20">
      <c r="Z464" s="373">
        <v>448</v>
      </c>
      <c r="AA464" s="373" t="s">
        <v>1659</v>
      </c>
      <c r="AB464" s="373" t="s">
        <v>829</v>
      </c>
      <c r="AC464" s="373" t="s">
        <v>1660</v>
      </c>
    </row>
    <row r="465" spans="26:29" ht="20">
      <c r="Z465" s="373">
        <v>449</v>
      </c>
      <c r="AA465" s="373" t="s">
        <v>1661</v>
      </c>
      <c r="AB465" s="373" t="s">
        <v>785</v>
      </c>
      <c r="AC465" s="373" t="s">
        <v>1662</v>
      </c>
    </row>
    <row r="466" spans="26:29" ht="20">
      <c r="Z466" s="373">
        <v>450</v>
      </c>
      <c r="AA466" s="373" t="s">
        <v>1663</v>
      </c>
      <c r="AB466" s="373" t="s">
        <v>788</v>
      </c>
      <c r="AC466" s="373" t="s">
        <v>1664</v>
      </c>
    </row>
    <row r="467" spans="26:29" ht="20">
      <c r="Z467" s="373">
        <v>451</v>
      </c>
      <c r="AA467" s="373" t="s">
        <v>1665</v>
      </c>
      <c r="AB467" s="373" t="s">
        <v>813</v>
      </c>
      <c r="AC467" s="373" t="s">
        <v>1666</v>
      </c>
    </row>
    <row r="468" spans="26:29" ht="20">
      <c r="Z468" s="373">
        <v>452</v>
      </c>
      <c r="AA468" s="373" t="s">
        <v>1667</v>
      </c>
      <c r="AB468" s="373" t="s">
        <v>918</v>
      </c>
      <c r="AC468" s="373" t="s">
        <v>1668</v>
      </c>
    </row>
    <row r="469" spans="26:29" ht="20">
      <c r="Z469" s="373">
        <v>453</v>
      </c>
      <c r="AA469" s="373" t="s">
        <v>1669</v>
      </c>
      <c r="AB469" s="373" t="s">
        <v>813</v>
      </c>
      <c r="AC469" s="373" t="s">
        <v>1670</v>
      </c>
    </row>
    <row r="470" spans="26:29" ht="20">
      <c r="Z470" s="373">
        <v>454</v>
      </c>
      <c r="AA470" s="373" t="s">
        <v>1671</v>
      </c>
      <c r="AB470" s="373" t="s">
        <v>918</v>
      </c>
      <c r="AC470" s="373" t="s">
        <v>1672</v>
      </c>
    </row>
    <row r="471" spans="26:29" ht="20">
      <c r="Z471" s="373">
        <v>455</v>
      </c>
      <c r="AA471" s="373" t="s">
        <v>1673</v>
      </c>
      <c r="AB471" s="373" t="s">
        <v>758</v>
      </c>
      <c r="AC471" s="373" t="s">
        <v>1674</v>
      </c>
    </row>
    <row r="472" spans="26:29" ht="20">
      <c r="Z472" s="373">
        <v>456</v>
      </c>
      <c r="AA472" s="373" t="s">
        <v>1675</v>
      </c>
      <c r="AB472" s="373" t="s">
        <v>767</v>
      </c>
      <c r="AC472" s="373" t="s">
        <v>1676</v>
      </c>
    </row>
    <row r="473" spans="26:29" ht="20">
      <c r="Z473" s="373">
        <v>457</v>
      </c>
      <c r="AA473" s="373" t="s">
        <v>1677</v>
      </c>
      <c r="AB473" s="373" t="s">
        <v>764</v>
      </c>
      <c r="AC473" s="373" t="s">
        <v>1678</v>
      </c>
    </row>
    <row r="474" spans="26:29" ht="20">
      <c r="Z474" s="373">
        <v>458</v>
      </c>
      <c r="AA474" s="373" t="s">
        <v>1679</v>
      </c>
      <c r="AB474" s="373" t="s">
        <v>764</v>
      </c>
      <c r="AC474" s="373" t="s">
        <v>1680</v>
      </c>
    </row>
    <row r="475" spans="26:29" ht="20">
      <c r="Z475" s="373">
        <v>459</v>
      </c>
      <c r="AA475" s="373" t="s">
        <v>1681</v>
      </c>
      <c r="AB475" s="373" t="s">
        <v>764</v>
      </c>
      <c r="AC475" s="373" t="s">
        <v>1682</v>
      </c>
    </row>
    <row r="476" spans="26:29" ht="20">
      <c r="Z476" s="373">
        <v>460</v>
      </c>
      <c r="AA476" s="373" t="s">
        <v>1683</v>
      </c>
      <c r="AB476" s="373" t="s">
        <v>832</v>
      </c>
      <c r="AC476" s="373" t="s">
        <v>678</v>
      </c>
    </row>
    <row r="477" spans="26:29" ht="20">
      <c r="Z477" s="373">
        <v>461</v>
      </c>
      <c r="AA477" s="373" t="s">
        <v>1684</v>
      </c>
      <c r="AB477" s="373" t="s">
        <v>498</v>
      </c>
      <c r="AC477" s="373" t="s">
        <v>1685</v>
      </c>
    </row>
    <row r="478" spans="26:29" ht="20">
      <c r="Z478" s="373">
        <v>462</v>
      </c>
      <c r="AA478" s="373" t="s">
        <v>1686</v>
      </c>
      <c r="AB478" s="373" t="s">
        <v>785</v>
      </c>
      <c r="AC478" s="373" t="s">
        <v>1687</v>
      </c>
    </row>
    <row r="479" spans="26:29" ht="20">
      <c r="Z479" s="373">
        <v>463</v>
      </c>
      <c r="AA479" s="373" t="s">
        <v>1688</v>
      </c>
      <c r="AB479" s="373" t="s">
        <v>806</v>
      </c>
      <c r="AC479" s="373" t="s">
        <v>1689</v>
      </c>
    </row>
    <row r="480" spans="26:29" ht="20">
      <c r="Z480" s="373">
        <v>464</v>
      </c>
      <c r="AA480" s="373" t="s">
        <v>1690</v>
      </c>
      <c r="AB480" s="373" t="s">
        <v>826</v>
      </c>
      <c r="AC480" s="373" t="s">
        <v>1691</v>
      </c>
    </row>
    <row r="481" spans="26:29" ht="20">
      <c r="Z481" s="373">
        <v>465</v>
      </c>
      <c r="AA481" s="373" t="s">
        <v>1692</v>
      </c>
      <c r="AB481" s="373" t="s">
        <v>801</v>
      </c>
      <c r="AC481" s="373" t="s">
        <v>1693</v>
      </c>
    </row>
    <row r="482" spans="26:29" ht="20">
      <c r="Z482" s="373">
        <v>466</v>
      </c>
      <c r="AA482" s="373" t="s">
        <v>1694</v>
      </c>
      <c r="AB482" s="373" t="s">
        <v>764</v>
      </c>
      <c r="AC482" s="373" t="s">
        <v>1695</v>
      </c>
    </row>
    <row r="483" spans="26:29" ht="20">
      <c r="Z483" s="373">
        <v>467</v>
      </c>
      <c r="AA483" s="373" t="s">
        <v>1696</v>
      </c>
      <c r="AB483" s="373" t="s">
        <v>829</v>
      </c>
      <c r="AC483" s="373" t="s">
        <v>1697</v>
      </c>
    </row>
    <row r="484" spans="26:29" ht="20">
      <c r="Z484" s="373">
        <v>468</v>
      </c>
      <c r="AA484" s="373" t="s">
        <v>1698</v>
      </c>
      <c r="AB484" s="373" t="s">
        <v>758</v>
      </c>
      <c r="AC484" s="373" t="s">
        <v>1699</v>
      </c>
    </row>
    <row r="485" spans="26:29" ht="20">
      <c r="Z485" s="373">
        <v>469</v>
      </c>
      <c r="AA485" s="373" t="s">
        <v>1700</v>
      </c>
      <c r="AB485" s="373" t="s">
        <v>829</v>
      </c>
      <c r="AC485" s="373" t="s">
        <v>1701</v>
      </c>
    </row>
    <row r="486" spans="26:29" ht="20">
      <c r="Z486" s="373">
        <v>470</v>
      </c>
      <c r="AA486" s="373" t="s">
        <v>1702</v>
      </c>
      <c r="AB486" s="373" t="s">
        <v>776</v>
      </c>
      <c r="AC486" s="373" t="s">
        <v>708</v>
      </c>
    </row>
    <row r="487" spans="26:29" ht="20">
      <c r="Z487" s="373">
        <v>471</v>
      </c>
      <c r="AA487" s="373" t="s">
        <v>1703</v>
      </c>
      <c r="AB487" s="373" t="s">
        <v>758</v>
      </c>
      <c r="AC487" s="373" t="s">
        <v>1704</v>
      </c>
    </row>
    <row r="488" spans="26:29" ht="20">
      <c r="Z488" s="373">
        <v>472</v>
      </c>
      <c r="AA488" s="373" t="s">
        <v>1705</v>
      </c>
      <c r="AB488" s="373" t="s">
        <v>758</v>
      </c>
      <c r="AC488" s="373" t="s">
        <v>1706</v>
      </c>
    </row>
    <row r="489" spans="26:29" ht="20">
      <c r="Z489" s="373">
        <v>473</v>
      </c>
      <c r="AA489" s="373" t="s">
        <v>1707</v>
      </c>
      <c r="AB489" s="373" t="s">
        <v>767</v>
      </c>
      <c r="AC489" s="373" t="s">
        <v>1708</v>
      </c>
    </row>
    <row r="490" spans="26:29" ht="20">
      <c r="Z490" s="373">
        <v>474</v>
      </c>
      <c r="AA490" s="373" t="s">
        <v>1709</v>
      </c>
      <c r="AB490" s="373" t="s">
        <v>758</v>
      </c>
      <c r="AC490" s="373" t="s">
        <v>1710</v>
      </c>
    </row>
    <row r="491" spans="26:29" ht="20">
      <c r="Z491" s="373">
        <v>475</v>
      </c>
      <c r="AA491" s="373" t="s">
        <v>1711</v>
      </c>
      <c r="AB491" s="373" t="s">
        <v>801</v>
      </c>
      <c r="AC491" s="373" t="s">
        <v>1712</v>
      </c>
    </row>
    <row r="492" spans="26:29" ht="20">
      <c r="Z492" s="373">
        <v>476</v>
      </c>
      <c r="AA492" s="373" t="s">
        <v>1713</v>
      </c>
      <c r="AB492" s="373" t="s">
        <v>801</v>
      </c>
      <c r="AC492" s="373" t="s">
        <v>1714</v>
      </c>
    </row>
    <row r="493" spans="26:29" ht="20">
      <c r="Z493" s="373">
        <v>477</v>
      </c>
      <c r="AA493" s="373" t="s">
        <v>1715</v>
      </c>
      <c r="AB493" s="373" t="s">
        <v>764</v>
      </c>
      <c r="AC493" s="373" t="s">
        <v>1716</v>
      </c>
    </row>
    <row r="494" spans="26:29" ht="20">
      <c r="Z494" s="373">
        <v>478</v>
      </c>
      <c r="AA494" s="373" t="s">
        <v>1717</v>
      </c>
      <c r="AB494" s="373" t="s">
        <v>832</v>
      </c>
      <c r="AC494" s="373" t="s">
        <v>1718</v>
      </c>
    </row>
    <row r="495" spans="26:29" ht="20">
      <c r="Z495" s="373">
        <v>479</v>
      </c>
      <c r="AA495" s="373" t="s">
        <v>1719</v>
      </c>
      <c r="AB495" s="373" t="s">
        <v>832</v>
      </c>
      <c r="AC495" s="373" t="s">
        <v>1720</v>
      </c>
    </row>
    <row r="496" spans="26:29" ht="20">
      <c r="Z496" s="373">
        <v>480</v>
      </c>
      <c r="AA496" s="373" t="s">
        <v>1721</v>
      </c>
      <c r="AB496" s="373" t="s">
        <v>832</v>
      </c>
      <c r="AC496" s="373" t="s">
        <v>1722</v>
      </c>
    </row>
    <row r="497" spans="26:29" ht="20">
      <c r="Z497" s="373">
        <v>481</v>
      </c>
      <c r="AA497" s="373" t="s">
        <v>1723</v>
      </c>
      <c r="AB497" s="373" t="s">
        <v>826</v>
      </c>
      <c r="AC497" s="373" t="s">
        <v>1724</v>
      </c>
    </row>
    <row r="498" spans="26:29" ht="20">
      <c r="Z498" s="373">
        <v>482</v>
      </c>
      <c r="AA498" s="373" t="s">
        <v>1725</v>
      </c>
      <c r="AB498" s="373" t="s">
        <v>829</v>
      </c>
      <c r="AC498" s="373" t="s">
        <v>1726</v>
      </c>
    </row>
    <row r="499" spans="26:29" ht="20">
      <c r="Z499" s="373">
        <v>483</v>
      </c>
      <c r="AA499" s="373" t="s">
        <v>1727</v>
      </c>
      <c r="AB499" s="373" t="s">
        <v>801</v>
      </c>
      <c r="AC499" s="373" t="s">
        <v>1728</v>
      </c>
    </row>
    <row r="500" spans="26:29" ht="20">
      <c r="Z500" s="373">
        <v>484</v>
      </c>
      <c r="AA500" s="373" t="s">
        <v>1729</v>
      </c>
      <c r="AB500" s="373" t="s">
        <v>806</v>
      </c>
      <c r="AC500" s="373" t="s">
        <v>1730</v>
      </c>
    </row>
    <row r="501" spans="26:29" ht="20">
      <c r="Z501" s="373">
        <v>485</v>
      </c>
      <c r="AA501" s="373" t="s">
        <v>1731</v>
      </c>
      <c r="AB501" s="373" t="s">
        <v>788</v>
      </c>
      <c r="AC501" s="373" t="s">
        <v>1732</v>
      </c>
    </row>
    <row r="502" spans="26:29" ht="20">
      <c r="Z502" s="373">
        <v>486</v>
      </c>
      <c r="AA502" s="373" t="s">
        <v>1733</v>
      </c>
      <c r="AB502" s="373" t="s">
        <v>498</v>
      </c>
      <c r="AC502" s="373" t="s">
        <v>1734</v>
      </c>
    </row>
    <row r="503" spans="26:29" ht="20">
      <c r="Z503" s="373">
        <v>487</v>
      </c>
      <c r="AA503" s="373" t="s">
        <v>1735</v>
      </c>
      <c r="AB503" s="373" t="s">
        <v>918</v>
      </c>
      <c r="AC503" s="373" t="s">
        <v>1736</v>
      </c>
    </row>
    <row r="504" spans="26:29" ht="20">
      <c r="Z504" s="373">
        <v>488</v>
      </c>
      <c r="AA504" s="373" t="s">
        <v>1737</v>
      </c>
      <c r="AB504" s="373" t="s">
        <v>832</v>
      </c>
      <c r="AC504" s="373" t="s">
        <v>1738</v>
      </c>
    </row>
    <row r="505" spans="26:29" ht="20">
      <c r="Z505" s="373">
        <v>489</v>
      </c>
      <c r="AA505" s="373" t="s">
        <v>1739</v>
      </c>
      <c r="AB505" s="373" t="s">
        <v>764</v>
      </c>
      <c r="AC505" s="373" t="s">
        <v>1740</v>
      </c>
    </row>
    <row r="506" spans="26:29" ht="20">
      <c r="Z506" s="373">
        <v>490</v>
      </c>
      <c r="AA506" s="373" t="s">
        <v>1741</v>
      </c>
      <c r="AB506" s="373" t="s">
        <v>826</v>
      </c>
      <c r="AC506" s="373" t="s">
        <v>1742</v>
      </c>
    </row>
    <row r="507" spans="26:29" ht="20">
      <c r="Z507" s="373">
        <v>491</v>
      </c>
      <c r="AA507" s="373" t="s">
        <v>1743</v>
      </c>
      <c r="AB507" s="373" t="s">
        <v>806</v>
      </c>
      <c r="AC507" s="373" t="s">
        <v>1744</v>
      </c>
    </row>
    <row r="508" spans="26:29" ht="20">
      <c r="Z508" s="373">
        <v>492</v>
      </c>
      <c r="AA508" s="373" t="s">
        <v>1745</v>
      </c>
      <c r="AB508" s="373" t="s">
        <v>832</v>
      </c>
      <c r="AC508" s="373" t="s">
        <v>1746</v>
      </c>
    </row>
    <row r="509" spans="26:29" ht="20">
      <c r="Z509" s="373">
        <v>493</v>
      </c>
      <c r="AA509" s="373" t="s">
        <v>1747</v>
      </c>
      <c r="AB509" s="373" t="s">
        <v>813</v>
      </c>
      <c r="AC509" s="373" t="s">
        <v>682</v>
      </c>
    </row>
    <row r="510" spans="26:29" ht="20">
      <c r="Z510" s="373">
        <v>494</v>
      </c>
      <c r="AA510" s="373" t="s">
        <v>1748</v>
      </c>
      <c r="AB510" s="373" t="s">
        <v>758</v>
      </c>
      <c r="AC510" s="373" t="s">
        <v>1749</v>
      </c>
    </row>
    <row r="511" spans="26:29" ht="20">
      <c r="Z511" s="373">
        <v>495</v>
      </c>
      <c r="AA511" s="373" t="s">
        <v>1750</v>
      </c>
      <c r="AB511" s="373" t="s">
        <v>829</v>
      </c>
      <c r="AC511" s="373" t="s">
        <v>1751</v>
      </c>
    </row>
    <row r="512" spans="26:29" ht="20">
      <c r="Z512" s="373">
        <v>496</v>
      </c>
      <c r="AA512" s="373" t="s">
        <v>1752</v>
      </c>
      <c r="AB512" s="373" t="s">
        <v>1446</v>
      </c>
      <c r="AC512" s="373" t="s">
        <v>1753</v>
      </c>
    </row>
    <row r="513" spans="26:29" ht="20">
      <c r="Z513" s="373">
        <v>497</v>
      </c>
      <c r="AA513" s="373" t="s">
        <v>1754</v>
      </c>
      <c r="AB513" s="373" t="s">
        <v>813</v>
      </c>
      <c r="AC513" s="373" t="s">
        <v>1755</v>
      </c>
    </row>
    <row r="514" spans="26:29" ht="20">
      <c r="Z514" s="373">
        <v>498</v>
      </c>
      <c r="AA514" s="373" t="s">
        <v>1756</v>
      </c>
      <c r="AB514" s="373" t="s">
        <v>806</v>
      </c>
      <c r="AC514" s="373" t="s">
        <v>1757</v>
      </c>
    </row>
    <row r="515" spans="26:29" ht="20">
      <c r="Z515" s="373">
        <v>499</v>
      </c>
      <c r="AA515" s="373" t="s">
        <v>1758</v>
      </c>
      <c r="AB515" s="373" t="s">
        <v>498</v>
      </c>
      <c r="AC515" s="373" t="s">
        <v>1759</v>
      </c>
    </row>
    <row r="516" spans="26:29" ht="20">
      <c r="Z516" s="373">
        <v>500</v>
      </c>
      <c r="AA516" s="373" t="s">
        <v>1760</v>
      </c>
      <c r="AB516" s="373" t="s">
        <v>793</v>
      </c>
      <c r="AC516" s="373" t="s">
        <v>1761</v>
      </c>
    </row>
  </sheetData>
  <autoFilter ref="Z16:AC516" xr:uid="{3D7B3C84-E05B-9446-9152-E1F5764078D1}"/>
  <mergeCells count="4">
    <mergeCell ref="G5:G6"/>
    <mergeCell ref="C5:C6"/>
    <mergeCell ref="D5:D6"/>
    <mergeCell ref="F5:F6"/>
  </mergeCells>
  <hyperlinks>
    <hyperlink ref="AA23" r:id="rId1" tooltip="AU Small Finance Bank" display="https://en.wikipedia.org/wiki/AU_Small_Finance_Bank" xr:uid="{A0EE0384-CB95-9D48-8A61-426AAC44C4E3}"/>
    <hyperlink ref="AA25" r:id="rId2" tooltip="Aavas Financiers" display="https://en.wikipedia.org/wiki/Aavas_Financiers" xr:uid="{0D3610AB-1A1E-0C40-96EC-69A93029E25B}"/>
    <hyperlink ref="AA27" r:id="rId3" tooltip="Action Construction Equipment" display="https://en.wikipedia.org/wiki/Action_Construction_Equipment" xr:uid="{D7330669-70F1-294A-B707-8F776F2E2AA8}"/>
    <hyperlink ref="AA28" r:id="rId4" tooltip="Adani Energy Solutions" display="https://en.wikipedia.org/wiki/Adani_Energy_Solutions" xr:uid="{0F7CBCC5-1BC1-5E49-BEB0-72D99A603284}"/>
    <hyperlink ref="AA29" r:id="rId5" tooltip="Adani Enterprises" display="https://en.wikipedia.org/wiki/Adani_Enterprises" xr:uid="{374CFEF7-D915-1C45-983C-B6E1160719FF}"/>
    <hyperlink ref="AA30" r:id="rId6" tooltip="Adani Green Energy" display="https://en.wikipedia.org/wiki/Adani_Green_Energy" xr:uid="{5C3B8DF9-7F9B-F24F-99EF-8E1FF1F6F56D}"/>
    <hyperlink ref="AA32" r:id="rId7" tooltip="Adani Power" display="https://en.wikipedia.org/wiki/Adani_Power" xr:uid="{BAF1B364-A512-8D4C-B0D5-1AB8377D1669}"/>
    <hyperlink ref="AA34" r:id="rId8" tooltip="Adani Wilmar" display="https://en.wikipedia.org/wiki/Adani_Wilmar" xr:uid="{D016843D-4ACF-6948-AC72-C45403C93F26}"/>
    <hyperlink ref="AA35" r:id="rId9" tooltip="Aditya Birla Group" display="https://en.wikipedia.org/wiki/Aditya_Birla_Group" xr:uid="{44DCAF3E-A0E2-4248-B843-C9F1B6EF978F}"/>
    <hyperlink ref="AA36" r:id="rId10" tooltip="Aditya Birla Fashion and Retail" display="https://en.wikipedia.org/wiki/Aditya_Birla_Fashion_and_Retail" xr:uid="{2411D517-6BA1-2C48-A12B-27D7D1DD42B7}"/>
    <hyperlink ref="AA41" r:id="rId11" tooltip="Alembic Pharmaceuticals" display="https://en.wikipedia.org/wiki/Alembic_Pharmaceuticals" xr:uid="{4069F3B8-B549-2F40-9D9A-2E4FAF204FE8}"/>
    <hyperlink ref="AA42" r:id="rId12" tooltip="Alkem Laboratories" display="https://en.wikipedia.org/wiki/Alkem_Laboratories" xr:uid="{B8E54DF5-F743-CF41-B1ED-4D984622DE9C}"/>
    <hyperlink ref="AA44" r:id="rId13" tooltip="Allcargo Logistics" display="https://en.wikipedia.org/wiki/Allcargo_Logistics" xr:uid="{02393112-5C25-864A-91BE-589B0C5DCDFB}"/>
    <hyperlink ref="AA45" r:id="rId14" tooltip="Alok Industries" display="https://en.wikipedia.org/wiki/Alok_Industries" xr:uid="{4E86FDAC-918C-694C-9638-37D3C529DA44}"/>
    <hyperlink ref="AA48" r:id="rId15" tooltip="Ambuja Cements" display="https://en.wikipedia.org/wiki/Ambuja_Cements" xr:uid="{0C8A21B8-C4B4-C046-813E-6791D5EC6FEE}"/>
    <hyperlink ref="AA50" r:id="rId16" tooltip="Angel One (company)" display="https://en.wikipedia.org/wiki/Angel_One_(company)" xr:uid="{B43CF305-D32C-E641-A30F-D4EE32AB649B}"/>
    <hyperlink ref="AA53" r:id="rId17" tooltip="Apollo Hospitals" display="https://en.wikipedia.org/wiki/Apollo_Hospitals" xr:uid="{71F80442-6038-7C4F-A55B-C6002655C521}"/>
    <hyperlink ref="AA54" r:id="rId18" tooltip="Apollo Tyres" display="https://en.wikipedia.org/wiki/Apollo_Tyres" xr:uid="{8A5EC7C4-659A-1A45-A971-22D4A4BA1858}"/>
    <hyperlink ref="AA57" r:id="rId19" tooltip="Asahi India Glass" display="https://en.wikipedia.org/wiki/Asahi_India_Glass" xr:uid="{BA0371D6-977C-B745-AB78-E46E31F57863}"/>
    <hyperlink ref="AA58" r:id="rId20" tooltip="Ashok Leyland" display="https://en.wikipedia.org/wiki/Ashok_Leyland" xr:uid="{01F5C759-5C77-9342-9039-0306B34D4FED}"/>
    <hyperlink ref="AA59" r:id="rId21" tooltip="Asian Paints" display="https://en.wikipedia.org/wiki/Asian_Paints" xr:uid="{678E112C-27F5-5E4E-ADEB-49671E9229FE}"/>
    <hyperlink ref="AA60" r:id="rId22" tooltip="Aster DM Healthcare" display="https://en.wikipedia.org/wiki/Aster_DM_Healthcare" xr:uid="{B20F7DB8-9A86-A84A-98CC-CBB7B0E3408E}"/>
    <hyperlink ref="AA61" r:id="rId23" tooltip="AstraZeneca" display="https://en.wikipedia.org/wiki/AstraZeneca" xr:uid="{B69FE184-969F-DC43-B0E4-1B0AFC335582}"/>
    <hyperlink ref="AA64" r:id="rId24" tooltip="Aurobindo Pharma" display="https://en.wikipedia.org/wiki/Aurobindo_Pharma" xr:uid="{F6FA83E2-CE2E-2E42-BD00-7A7F8BE12F21}"/>
    <hyperlink ref="AA66" r:id="rId25" tooltip="DMart" display="https://en.wikipedia.org/wiki/DMart" xr:uid="{B154A5CC-85A3-9B42-A691-9FA327D4AAC9}"/>
  </hyperlinks>
  <pageMargins left="0.7" right="0.7" top="0.75" bottom="0.75" header="0.3" footer="0.3"/>
  <pageSetup paperSize="9" orientation="portrait" horizontalDpi="0" verticalDpi="0"/>
  <drawing r:id="rId2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CD81-2E0B-5E4D-AE97-F3BE9BADB6A3}">
  <dimension ref="D4:AB78"/>
  <sheetViews>
    <sheetView topLeftCell="K39" zoomScale="92" zoomScaleNormal="92" workbookViewId="0">
      <selection activeCell="N52" sqref="N52:S62"/>
    </sheetView>
  </sheetViews>
  <sheetFormatPr baseColWidth="10" defaultRowHeight="21"/>
  <cols>
    <col min="1" max="3" width="10.83203125" style="186"/>
    <col min="4" max="4" width="50.6640625" style="186" bestFit="1" customWidth="1"/>
    <col min="5" max="5" width="37.83203125" style="186" customWidth="1"/>
    <col min="6" max="6" width="25.83203125" style="186" bestFit="1" customWidth="1"/>
    <col min="7" max="7" width="23.6640625" style="186" bestFit="1" customWidth="1"/>
    <col min="8" max="8" width="31.6640625" style="186" bestFit="1" customWidth="1"/>
    <col min="9" max="9" width="17.5" style="186" customWidth="1"/>
    <col min="10" max="10" width="27.83203125" style="186" bestFit="1" customWidth="1"/>
    <col min="11" max="11" width="50.5" style="186" customWidth="1"/>
    <col min="12" max="12" width="16" style="186" customWidth="1"/>
    <col min="13" max="13" width="10.83203125" style="186"/>
    <col min="14" max="14" width="34.83203125" style="234" bestFit="1" customWidth="1"/>
    <col min="15" max="15" width="36" style="234" customWidth="1"/>
    <col min="16" max="17" width="10.83203125" style="234"/>
    <col min="18" max="18" width="64.83203125" style="234" bestFit="1" customWidth="1"/>
    <col min="19" max="19" width="62.1640625" style="186" bestFit="1" customWidth="1"/>
    <col min="20" max="20" width="34.83203125" style="186" bestFit="1" customWidth="1"/>
    <col min="21" max="21" width="21.5" style="186" customWidth="1"/>
    <col min="22" max="22" width="8.83203125" style="186" bestFit="1" customWidth="1"/>
    <col min="23" max="25" width="10.83203125" style="186"/>
    <col min="26" max="26" width="53.5" style="186" customWidth="1"/>
    <col min="27" max="27" width="12" style="186" bestFit="1" customWidth="1"/>
    <col min="28" max="28" width="26.5" style="186" customWidth="1"/>
    <col min="29" max="16384" width="10.83203125" style="186"/>
  </cols>
  <sheetData>
    <row r="4" spans="4:18">
      <c r="E4" s="233" t="s">
        <v>390</v>
      </c>
      <c r="F4" s="234"/>
      <c r="G4" s="234"/>
      <c r="H4" s="234"/>
      <c r="I4" s="234"/>
      <c r="J4" s="234"/>
      <c r="K4" s="234"/>
      <c r="L4" s="234"/>
    </row>
    <row r="5" spans="4:18">
      <c r="D5" s="475" t="s">
        <v>266</v>
      </c>
      <c r="E5" s="476" t="s">
        <v>294</v>
      </c>
      <c r="F5" s="235"/>
      <c r="G5" s="236" t="s">
        <v>266</v>
      </c>
      <c r="H5" s="235"/>
      <c r="I5" s="235"/>
      <c r="J5" s="235"/>
      <c r="K5" s="437"/>
      <c r="L5" s="234"/>
      <c r="N5" s="239" t="s">
        <v>391</v>
      </c>
    </row>
    <row r="6" spans="4:18">
      <c r="D6" s="190"/>
      <c r="E6" s="239" t="s">
        <v>578</v>
      </c>
      <c r="F6" s="234"/>
      <c r="G6" s="234"/>
      <c r="H6" s="238" t="s">
        <v>459</v>
      </c>
      <c r="I6" s="239" t="s">
        <v>298</v>
      </c>
      <c r="J6" s="239" t="s">
        <v>299</v>
      </c>
      <c r="K6" s="240" t="s">
        <v>588</v>
      </c>
      <c r="L6" s="239"/>
      <c r="M6" s="189"/>
      <c r="N6" s="436" t="s">
        <v>352</v>
      </c>
      <c r="O6" s="305" t="s">
        <v>136</v>
      </c>
      <c r="P6" s="305" t="s">
        <v>1</v>
      </c>
      <c r="Q6" s="305"/>
      <c r="R6" s="437" t="s">
        <v>356</v>
      </c>
    </row>
    <row r="7" spans="4:18">
      <c r="D7" s="241">
        <v>2019</v>
      </c>
      <c r="E7" s="234" t="s">
        <v>295</v>
      </c>
      <c r="F7" s="234">
        <v>8161200</v>
      </c>
      <c r="G7" s="234">
        <v>2019</v>
      </c>
      <c r="H7" s="471" t="s">
        <v>460</v>
      </c>
      <c r="I7" s="234">
        <v>1632240</v>
      </c>
      <c r="J7" s="234">
        <v>81612</v>
      </c>
      <c r="K7" s="242" t="s">
        <v>162</v>
      </c>
      <c r="L7" s="234"/>
      <c r="N7" s="241" t="s">
        <v>231</v>
      </c>
      <c r="O7" s="306">
        <v>1100000</v>
      </c>
      <c r="P7" s="234">
        <v>15000</v>
      </c>
      <c r="R7" s="242" t="s">
        <v>355</v>
      </c>
    </row>
    <row r="8" spans="4:18">
      <c r="D8" s="241">
        <v>2019</v>
      </c>
      <c r="E8" s="234" t="s">
        <v>296</v>
      </c>
      <c r="F8" s="234">
        <v>408060</v>
      </c>
      <c r="G8" s="234">
        <v>2019</v>
      </c>
      <c r="H8" s="471" t="s">
        <v>344</v>
      </c>
      <c r="I8" s="234">
        <v>37300</v>
      </c>
      <c r="J8" s="234"/>
      <c r="K8" s="242" t="s">
        <v>162</v>
      </c>
      <c r="L8" s="234"/>
      <c r="N8" s="241" t="s">
        <v>353</v>
      </c>
      <c r="O8" s="306">
        <v>3940000</v>
      </c>
      <c r="P8" s="234">
        <v>54000</v>
      </c>
      <c r="R8" s="242" t="s">
        <v>457</v>
      </c>
    </row>
    <row r="9" spans="4:18">
      <c r="D9" s="241">
        <v>2023</v>
      </c>
      <c r="E9" s="471" t="s">
        <v>577</v>
      </c>
      <c r="F9" s="234">
        <v>621313</v>
      </c>
      <c r="G9" s="234">
        <v>2019</v>
      </c>
      <c r="H9" s="471" t="s">
        <v>345</v>
      </c>
      <c r="I9" s="234">
        <v>2360</v>
      </c>
      <c r="J9" s="234"/>
      <c r="K9" s="242" t="s">
        <v>162</v>
      </c>
      <c r="L9" s="234"/>
      <c r="N9" s="241" t="s">
        <v>441</v>
      </c>
      <c r="O9" s="306">
        <v>102000</v>
      </c>
      <c r="P9" s="234">
        <v>1400</v>
      </c>
      <c r="R9" s="242"/>
    </row>
    <row r="10" spans="4:18">
      <c r="D10" s="241">
        <v>2023</v>
      </c>
      <c r="E10" s="234" t="s">
        <v>587</v>
      </c>
      <c r="F10" s="234">
        <v>45000</v>
      </c>
      <c r="G10" s="234">
        <v>2023</v>
      </c>
      <c r="H10" s="471" t="s">
        <v>577</v>
      </c>
      <c r="I10" s="234">
        <v>621313</v>
      </c>
      <c r="J10" s="234"/>
      <c r="K10" s="242" t="s">
        <v>231</v>
      </c>
      <c r="L10" s="234"/>
      <c r="N10" s="241" t="s">
        <v>354</v>
      </c>
      <c r="O10" s="306">
        <v>2482000</v>
      </c>
      <c r="P10" s="234">
        <v>34000</v>
      </c>
      <c r="R10" s="242"/>
    </row>
    <row r="11" spans="4:18">
      <c r="D11" s="241">
        <v>2023</v>
      </c>
      <c r="E11" s="472" t="s">
        <v>739</v>
      </c>
      <c r="F11" s="472">
        <v>123000</v>
      </c>
      <c r="G11" s="234">
        <v>2023</v>
      </c>
      <c r="H11" s="234" t="s">
        <v>587</v>
      </c>
      <c r="I11" s="234">
        <v>45000</v>
      </c>
      <c r="J11" s="234"/>
      <c r="K11" s="242" t="s">
        <v>231</v>
      </c>
      <c r="L11" s="234"/>
      <c r="N11" s="241" t="s">
        <v>442</v>
      </c>
      <c r="P11" s="234">
        <v>700</v>
      </c>
      <c r="R11" s="242" t="s">
        <v>458</v>
      </c>
    </row>
    <row r="12" spans="4:18">
      <c r="D12" s="241">
        <v>2023</v>
      </c>
      <c r="E12" s="472" t="s">
        <v>740</v>
      </c>
      <c r="F12" s="472">
        <v>77314</v>
      </c>
      <c r="G12" s="234">
        <v>2023</v>
      </c>
      <c r="H12" s="234" t="s">
        <v>297</v>
      </c>
      <c r="I12" s="234">
        <v>204467</v>
      </c>
      <c r="J12" s="234"/>
      <c r="K12" s="242" t="s">
        <v>231</v>
      </c>
      <c r="L12" s="234"/>
      <c r="N12" s="241"/>
      <c r="R12" s="242"/>
    </row>
    <row r="13" spans="4:18">
      <c r="D13" s="321">
        <v>2024</v>
      </c>
      <c r="E13" s="291" t="s">
        <v>750</v>
      </c>
      <c r="F13" s="291">
        <v>-20000</v>
      </c>
      <c r="G13" s="291">
        <v>2023</v>
      </c>
      <c r="H13" s="291" t="s">
        <v>749</v>
      </c>
      <c r="I13" s="291">
        <v>1400000</v>
      </c>
      <c r="J13" s="291"/>
      <c r="K13" s="243" t="s">
        <v>162</v>
      </c>
      <c r="L13" s="291"/>
      <c r="N13" s="241"/>
      <c r="R13" s="242"/>
    </row>
    <row r="14" spans="4:18">
      <c r="D14" s="321">
        <v>2024</v>
      </c>
      <c r="E14" s="291" t="s">
        <v>1770</v>
      </c>
      <c r="F14" s="291">
        <v>1400000</v>
      </c>
      <c r="G14" s="291">
        <v>2023</v>
      </c>
      <c r="H14" s="291" t="s">
        <v>619</v>
      </c>
      <c r="I14" s="291">
        <v>102000</v>
      </c>
      <c r="J14" s="291" t="s">
        <v>714</v>
      </c>
      <c r="K14" s="243" t="s">
        <v>738</v>
      </c>
      <c r="L14" s="291"/>
      <c r="N14" s="307" t="s">
        <v>34</v>
      </c>
      <c r="O14" s="408" t="s">
        <v>443</v>
      </c>
      <c r="P14" s="308">
        <v>105100</v>
      </c>
      <c r="Q14" s="308"/>
      <c r="R14" s="310"/>
    </row>
    <row r="15" spans="4:18">
      <c r="D15" s="190"/>
      <c r="E15" s="291"/>
      <c r="F15" s="291"/>
      <c r="G15" s="473" t="s">
        <v>737</v>
      </c>
      <c r="H15" s="291" t="s">
        <v>736</v>
      </c>
      <c r="I15" s="291">
        <v>1370000</v>
      </c>
      <c r="J15" s="291"/>
      <c r="K15" s="243" t="s">
        <v>231</v>
      </c>
      <c r="L15" s="291"/>
    </row>
    <row r="16" spans="4:18">
      <c r="D16" s="190"/>
      <c r="G16" s="291">
        <v>2024</v>
      </c>
      <c r="H16" s="291" t="s">
        <v>749</v>
      </c>
      <c r="I16" s="291">
        <v>1200000</v>
      </c>
      <c r="J16" s="291"/>
      <c r="K16" s="243" t="s">
        <v>162</v>
      </c>
      <c r="L16" s="291"/>
    </row>
    <row r="17" spans="4:17">
      <c r="D17" s="190"/>
      <c r="G17" s="291">
        <v>2025</v>
      </c>
      <c r="H17" s="291" t="s">
        <v>749</v>
      </c>
      <c r="I17" s="291">
        <v>683000</v>
      </c>
      <c r="K17" s="242" t="s">
        <v>1919</v>
      </c>
      <c r="L17" s="234"/>
      <c r="N17" s="304" t="s">
        <v>373</v>
      </c>
      <c r="O17" s="237"/>
    </row>
    <row r="18" spans="4:17">
      <c r="D18" s="190"/>
      <c r="H18" s="291" t="s">
        <v>1959</v>
      </c>
      <c r="I18" s="186">
        <v>3216085</v>
      </c>
      <c r="K18" s="194" t="s">
        <v>1958</v>
      </c>
      <c r="N18" s="241" t="s">
        <v>376</v>
      </c>
      <c r="O18" s="309">
        <v>165000</v>
      </c>
    </row>
    <row r="19" spans="4:17">
      <c r="D19" s="190"/>
      <c r="I19" s="234"/>
      <c r="K19" s="194"/>
      <c r="N19" s="241" t="s">
        <v>374</v>
      </c>
      <c r="O19" s="242">
        <v>60000</v>
      </c>
    </row>
    <row r="20" spans="4:17">
      <c r="D20" s="190"/>
      <c r="H20" s="474" t="s">
        <v>34</v>
      </c>
      <c r="I20" s="407">
        <v>10513765</v>
      </c>
      <c r="J20" s="234">
        <v>81612</v>
      </c>
      <c r="K20" s="477">
        <v>10595377</v>
      </c>
      <c r="N20" s="241" t="s">
        <v>375</v>
      </c>
      <c r="O20" s="242">
        <v>40000</v>
      </c>
    </row>
    <row r="21" spans="4:17">
      <c r="D21" s="190"/>
      <c r="E21" s="474" t="s">
        <v>34</v>
      </c>
      <c r="F21" s="473" t="s">
        <v>1771</v>
      </c>
      <c r="K21" s="194"/>
      <c r="N21" s="307" t="s">
        <v>377</v>
      </c>
      <c r="O21" s="310">
        <v>125000</v>
      </c>
    </row>
    <row r="22" spans="4:17">
      <c r="D22" s="190"/>
      <c r="K22" s="194"/>
      <c r="N22" s="311" t="s">
        <v>34</v>
      </c>
      <c r="O22" s="312" t="s">
        <v>496</v>
      </c>
    </row>
    <row r="23" spans="4:17">
      <c r="D23" s="190"/>
      <c r="K23" s="194"/>
    </row>
    <row r="24" spans="4:17">
      <c r="D24" s="190"/>
      <c r="K24" s="194"/>
      <c r="N24" s="375" t="s">
        <v>79</v>
      </c>
      <c r="O24" s="305"/>
      <c r="P24" s="376" t="s">
        <v>266</v>
      </c>
      <c r="Q24" s="306"/>
    </row>
    <row r="25" spans="4:17">
      <c r="D25" s="190"/>
      <c r="K25" s="194"/>
      <c r="N25" s="377" t="s">
        <v>152</v>
      </c>
      <c r="O25" s="305">
        <v>1200000</v>
      </c>
      <c r="P25" s="376">
        <v>2014</v>
      </c>
      <c r="Q25" s="306"/>
    </row>
    <row r="26" spans="4:17">
      <c r="D26" s="190"/>
      <c r="K26" s="194"/>
      <c r="N26" s="298" t="s">
        <v>494</v>
      </c>
      <c r="O26" s="306">
        <v>1200000</v>
      </c>
      <c r="P26" s="313">
        <v>2014</v>
      </c>
      <c r="Q26" s="306"/>
    </row>
    <row r="27" spans="4:17">
      <c r="D27" s="195"/>
      <c r="E27" s="196"/>
      <c r="F27" s="196"/>
      <c r="G27" s="196"/>
      <c r="H27" s="196"/>
      <c r="I27" s="196"/>
      <c r="J27" s="196"/>
      <c r="K27" s="197"/>
      <c r="N27" s="298" t="s">
        <v>167</v>
      </c>
      <c r="O27" s="306">
        <v>1600000</v>
      </c>
      <c r="P27" s="313">
        <v>2018</v>
      </c>
      <c r="Q27" s="306"/>
    </row>
    <row r="28" spans="4:17">
      <c r="N28" s="298" t="s">
        <v>203</v>
      </c>
      <c r="O28" s="306">
        <v>2700000</v>
      </c>
      <c r="P28" s="313">
        <v>2018</v>
      </c>
      <c r="Q28" s="306"/>
    </row>
    <row r="29" spans="4:17">
      <c r="N29" s="298" t="s">
        <v>402</v>
      </c>
      <c r="O29" s="306">
        <v>1251000</v>
      </c>
      <c r="P29" s="313">
        <v>2019</v>
      </c>
      <c r="Q29" s="306"/>
    </row>
    <row r="30" spans="4:17">
      <c r="N30" s="241" t="s">
        <v>493</v>
      </c>
      <c r="O30" s="234">
        <v>1000000</v>
      </c>
      <c r="P30" s="242">
        <v>2022</v>
      </c>
    </row>
    <row r="31" spans="4:17">
      <c r="N31" s="241"/>
      <c r="P31" s="242"/>
    </row>
    <row r="32" spans="4:17">
      <c r="N32" s="241"/>
      <c r="P32" s="242"/>
    </row>
    <row r="33" spans="4:28">
      <c r="N33" s="307"/>
      <c r="O33" s="308"/>
      <c r="P33" s="310"/>
    </row>
    <row r="34" spans="4:28" ht="24">
      <c r="AA34" s="232"/>
      <c r="AB34" s="232"/>
    </row>
    <row r="37" spans="4:28">
      <c r="N37" s="314" t="s">
        <v>502</v>
      </c>
    </row>
    <row r="38" spans="4:28">
      <c r="N38" s="238">
        <v>2016</v>
      </c>
    </row>
    <row r="39" spans="4:28">
      <c r="N39" s="315" t="s">
        <v>334</v>
      </c>
      <c r="O39" s="316" t="s">
        <v>138</v>
      </c>
      <c r="P39" s="317" t="s">
        <v>139</v>
      </c>
      <c r="Q39" s="411"/>
    </row>
    <row r="40" spans="4:28" ht="24">
      <c r="D40" s="269" t="s">
        <v>620</v>
      </c>
      <c r="E40" s="232"/>
      <c r="F40" s="232"/>
      <c r="N40" s="318" t="s">
        <v>113</v>
      </c>
      <c r="O40" s="306">
        <v>43000</v>
      </c>
      <c r="P40" s="313">
        <v>650</v>
      </c>
      <c r="Q40" s="306"/>
    </row>
    <row r="41" spans="4:28" ht="24">
      <c r="D41" s="397" t="s">
        <v>743</v>
      </c>
      <c r="E41" s="398">
        <v>6855408</v>
      </c>
      <c r="F41" s="399"/>
      <c r="N41" s="318" t="s">
        <v>123</v>
      </c>
      <c r="O41" s="306">
        <v>36000</v>
      </c>
      <c r="P41" s="313">
        <v>550</v>
      </c>
      <c r="Q41" s="306"/>
    </row>
    <row r="42" spans="4:28" ht="24">
      <c r="D42" s="400" t="s">
        <v>571</v>
      </c>
      <c r="F42" s="402"/>
      <c r="N42" s="318" t="s">
        <v>114</v>
      </c>
      <c r="O42" s="306">
        <v>20000</v>
      </c>
      <c r="P42" s="313">
        <v>300</v>
      </c>
      <c r="Q42" s="306"/>
    </row>
    <row r="43" spans="4:28" ht="24">
      <c r="D43" s="400" t="s">
        <v>572</v>
      </c>
      <c r="E43" s="232">
        <v>2250000</v>
      </c>
      <c r="F43" s="402"/>
      <c r="N43" s="318" t="s">
        <v>124</v>
      </c>
      <c r="O43" s="306">
        <v>8000</v>
      </c>
      <c r="P43" s="313">
        <v>120</v>
      </c>
      <c r="Q43" s="306"/>
    </row>
    <row r="44" spans="4:28" ht="24">
      <c r="D44" s="400" t="s">
        <v>573</v>
      </c>
      <c r="E44" s="401"/>
      <c r="F44" s="402" t="s">
        <v>627</v>
      </c>
      <c r="N44" s="319" t="s">
        <v>34</v>
      </c>
      <c r="O44" s="306">
        <v>10700</v>
      </c>
      <c r="P44" s="242">
        <v>1620</v>
      </c>
    </row>
    <row r="45" spans="4:28" ht="24">
      <c r="D45" s="400" t="s">
        <v>574</v>
      </c>
      <c r="E45" s="403" t="s">
        <v>1763</v>
      </c>
      <c r="F45" s="402"/>
      <c r="N45" s="241"/>
      <c r="P45" s="242"/>
    </row>
    <row r="46" spans="4:28" ht="24">
      <c r="D46" s="404" t="s">
        <v>575</v>
      </c>
      <c r="E46" s="405">
        <v>1562571</v>
      </c>
      <c r="F46" s="406"/>
      <c r="N46" s="241"/>
      <c r="P46" s="242"/>
    </row>
    <row r="47" spans="4:28">
      <c r="N47" s="307"/>
      <c r="O47" s="308"/>
      <c r="P47" s="310"/>
    </row>
    <row r="59" spans="4:5" ht="22" thickBot="1"/>
    <row r="60" spans="4:5">
      <c r="D60" s="439" t="s">
        <v>1886</v>
      </c>
      <c r="E60" s="441"/>
    </row>
    <row r="61" spans="4:5">
      <c r="D61" s="442" t="s">
        <v>1879</v>
      </c>
      <c r="E61" s="443">
        <v>7951000</v>
      </c>
    </row>
    <row r="62" spans="4:5">
      <c r="D62" s="442" t="s">
        <v>294</v>
      </c>
      <c r="E62" s="443">
        <v>10000000</v>
      </c>
    </row>
    <row r="63" spans="4:5">
      <c r="D63" s="442" t="s">
        <v>1880</v>
      </c>
      <c r="E63" s="443">
        <v>6422000</v>
      </c>
    </row>
    <row r="64" spans="4:5">
      <c r="D64" s="444" t="s">
        <v>1881</v>
      </c>
      <c r="E64" s="445">
        <v>1100000</v>
      </c>
    </row>
    <row r="65" spans="4:6">
      <c r="D65" s="444" t="s">
        <v>1882</v>
      </c>
      <c r="E65" s="445">
        <v>250000</v>
      </c>
      <c r="F65" s="407" t="s">
        <v>1883</v>
      </c>
    </row>
    <row r="66" spans="4:6">
      <c r="D66" s="444" t="s">
        <v>1890</v>
      </c>
      <c r="E66" s="445">
        <v>2000000</v>
      </c>
    </row>
    <row r="67" spans="4:6">
      <c r="D67" s="444" t="s">
        <v>1884</v>
      </c>
      <c r="E67" s="443">
        <v>500000</v>
      </c>
    </row>
    <row r="68" spans="4:6">
      <c r="D68" s="444" t="s">
        <v>34</v>
      </c>
      <c r="E68" s="443"/>
      <c r="F68" s="186">
        <v>28223000</v>
      </c>
    </row>
    <row r="69" spans="4:6">
      <c r="D69" s="444"/>
      <c r="E69" s="443"/>
    </row>
    <row r="70" spans="4:6">
      <c r="D70" s="444"/>
      <c r="E70" s="443"/>
    </row>
    <row r="71" spans="4:6">
      <c r="D71" s="440" t="s">
        <v>1887</v>
      </c>
      <c r="E71" s="443"/>
    </row>
    <row r="72" spans="4:6">
      <c r="D72" s="442" t="s">
        <v>1885</v>
      </c>
      <c r="E72" s="445">
        <v>44000</v>
      </c>
      <c r="F72" s="407"/>
    </row>
    <row r="73" spans="4:6">
      <c r="D73" s="442" t="s">
        <v>1888</v>
      </c>
      <c r="E73" s="445">
        <v>229600</v>
      </c>
    </row>
    <row r="74" spans="4:6">
      <c r="D74" s="442" t="s">
        <v>1889</v>
      </c>
      <c r="E74" s="445">
        <v>45000</v>
      </c>
    </row>
    <row r="75" spans="4:6">
      <c r="D75" s="442" t="s">
        <v>500</v>
      </c>
      <c r="E75" s="445">
        <v>30000</v>
      </c>
    </row>
    <row r="76" spans="4:6">
      <c r="D76" s="444" t="s">
        <v>34</v>
      </c>
      <c r="E76" s="448" t="s">
        <v>1891</v>
      </c>
      <c r="F76" s="186">
        <v>29631000</v>
      </c>
    </row>
    <row r="77" spans="4:6" ht="22" thickBot="1">
      <c r="D77" s="446"/>
      <c r="E77" s="447"/>
    </row>
    <row r="78" spans="4:6">
      <c r="E78" s="186" t="s">
        <v>34</v>
      </c>
      <c r="F78" s="186">
        <v>57854000</v>
      </c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6:AP63"/>
  <sheetViews>
    <sheetView workbookViewId="0">
      <selection activeCell="E15" sqref="E9:E15"/>
    </sheetView>
  </sheetViews>
  <sheetFormatPr baseColWidth="10" defaultColWidth="8.83203125" defaultRowHeight="19"/>
  <cols>
    <col min="1" max="3" width="8.83203125" style="6"/>
    <col min="4" max="4" width="17.1640625" style="6" customWidth="1"/>
    <col min="5" max="9" width="8.83203125" style="6"/>
    <col min="10" max="10" width="13.83203125" style="6" customWidth="1"/>
    <col min="11" max="11" width="13" style="6" customWidth="1"/>
    <col min="12" max="13" width="8.83203125" style="6"/>
    <col min="14" max="14" width="12.1640625" style="6" bestFit="1" customWidth="1"/>
    <col min="15" max="15" width="12.1640625" style="6" customWidth="1"/>
    <col min="16" max="16" width="8.83203125" style="6"/>
    <col min="17" max="17" width="11" style="6" bestFit="1" customWidth="1"/>
    <col min="18" max="18" width="21.83203125" style="6" bestFit="1" customWidth="1"/>
    <col min="19" max="19" width="9.33203125" style="6" customWidth="1"/>
    <col min="20" max="21" width="20.83203125" style="6" customWidth="1"/>
    <col min="22" max="22" width="16" style="6" customWidth="1"/>
    <col min="23" max="23" width="8.83203125" style="6"/>
    <col min="24" max="24" width="23.5" style="6" customWidth="1"/>
    <col min="25" max="25" width="18.5" style="6" bestFit="1" customWidth="1"/>
    <col min="26" max="26" width="8.83203125" style="6"/>
    <col min="27" max="27" width="21.83203125" style="6" bestFit="1" customWidth="1"/>
    <col min="28" max="28" width="8.83203125" style="6"/>
    <col min="29" max="29" width="14.1640625" style="6" customWidth="1"/>
    <col min="30" max="30" width="12" style="6" bestFit="1" customWidth="1"/>
    <col min="31" max="32" width="8.83203125" style="6"/>
    <col min="33" max="33" width="33" style="6" customWidth="1"/>
    <col min="34" max="34" width="18.1640625" style="6" customWidth="1"/>
    <col min="35" max="35" width="18.5" style="6" bestFit="1" customWidth="1"/>
    <col min="36" max="37" width="8.83203125" style="6"/>
    <col min="38" max="38" width="18.33203125" style="6" customWidth="1"/>
    <col min="39" max="39" width="13.33203125" style="6" bestFit="1" customWidth="1"/>
    <col min="40" max="40" width="8.83203125" style="6"/>
    <col min="41" max="41" width="9.6640625" style="6" customWidth="1"/>
    <col min="42" max="42" width="15.5" style="6" customWidth="1"/>
    <col min="43" max="43" width="8.83203125" style="6"/>
    <col min="44" max="44" width="5.83203125" style="6" bestFit="1" customWidth="1"/>
    <col min="45" max="45" width="8.83203125" style="6"/>
    <col min="46" max="46" width="9" style="6" bestFit="1" customWidth="1"/>
    <col min="47" max="47" width="8.83203125" style="6"/>
    <col min="48" max="48" width="9" style="6" bestFit="1" customWidth="1"/>
    <col min="49" max="49" width="8.83203125" style="6"/>
    <col min="50" max="50" width="9" style="6" bestFit="1" customWidth="1"/>
    <col min="51" max="51" width="8.83203125" style="6"/>
    <col min="52" max="52" width="9" style="6" bestFit="1" customWidth="1"/>
    <col min="53" max="53" width="8.83203125" style="6"/>
    <col min="54" max="54" width="9" style="6" bestFit="1" customWidth="1"/>
    <col min="55" max="55" width="8.83203125" style="6"/>
    <col min="56" max="56" width="9" style="6" bestFit="1" customWidth="1"/>
    <col min="57" max="57" width="8.83203125" style="6"/>
    <col min="58" max="58" width="37.1640625" style="6" customWidth="1"/>
    <col min="59" max="59" width="23.5" style="6" customWidth="1"/>
    <col min="60" max="16384" width="8.83203125" style="6"/>
  </cols>
  <sheetData>
    <row r="6" spans="3:41" ht="20" thickBot="1">
      <c r="AL6" s="363" t="s">
        <v>748</v>
      </c>
      <c r="AM6" s="104"/>
      <c r="AN6" s="104"/>
      <c r="AO6" s="355"/>
    </row>
    <row r="7" spans="3:41" ht="20" thickBot="1">
      <c r="X7" s="40">
        <v>2018</v>
      </c>
      <c r="Y7" s="7"/>
      <c r="Z7" s="7" t="s">
        <v>1</v>
      </c>
      <c r="AB7" s="28">
        <v>2014</v>
      </c>
      <c r="AC7" s="29"/>
      <c r="AD7" s="30"/>
      <c r="AG7" s="170" t="s">
        <v>321</v>
      </c>
      <c r="AH7" s="155" t="s">
        <v>1</v>
      </c>
      <c r="AL7" s="356" t="s">
        <v>745</v>
      </c>
      <c r="AM7" s="26"/>
      <c r="AN7" s="27">
        <v>3375.55</v>
      </c>
      <c r="AO7" s="357"/>
    </row>
    <row r="8" spans="3:41" ht="20" thickBot="1">
      <c r="C8" s="36">
        <v>2025</v>
      </c>
      <c r="D8" s="29"/>
      <c r="E8" s="257" t="s">
        <v>1</v>
      </c>
      <c r="F8" s="257" t="s">
        <v>136</v>
      </c>
      <c r="G8" s="258" t="s">
        <v>463</v>
      </c>
      <c r="J8" s="36">
        <v>2023</v>
      </c>
      <c r="K8" s="29"/>
      <c r="L8" s="257" t="s">
        <v>1</v>
      </c>
      <c r="M8" s="257" t="s">
        <v>136</v>
      </c>
      <c r="N8" s="258" t="s">
        <v>463</v>
      </c>
      <c r="O8" s="89"/>
      <c r="Q8" s="66">
        <v>2020</v>
      </c>
      <c r="R8" s="67"/>
      <c r="S8" s="67" t="s">
        <v>1</v>
      </c>
      <c r="T8" s="68" t="s">
        <v>136</v>
      </c>
      <c r="U8" s="69" t="s">
        <v>319</v>
      </c>
      <c r="X8" s="41" t="s">
        <v>168</v>
      </c>
      <c r="Y8" s="42" t="s">
        <v>62</v>
      </c>
      <c r="Z8" s="181">
        <v>1000</v>
      </c>
      <c r="AB8" s="34">
        <v>42733</v>
      </c>
      <c r="AC8" s="6" t="s">
        <v>49</v>
      </c>
      <c r="AD8" s="32">
        <v>1003</v>
      </c>
      <c r="AG8" s="171" t="s">
        <v>266</v>
      </c>
      <c r="AH8" s="63"/>
      <c r="AL8" s="50" t="s">
        <v>746</v>
      </c>
      <c r="AM8"/>
      <c r="AN8" s="81">
        <v>1692.98</v>
      </c>
      <c r="AO8" s="51"/>
    </row>
    <row r="9" spans="3:41" ht="20" thickBot="1">
      <c r="C9" s="107">
        <v>45673</v>
      </c>
      <c r="D9" s="6" t="s">
        <v>399</v>
      </c>
      <c r="E9" s="6">
        <v>3000</v>
      </c>
      <c r="G9" s="63"/>
      <c r="J9" s="34">
        <v>44970</v>
      </c>
      <c r="K9" s="142" t="s">
        <v>501</v>
      </c>
      <c r="L9" s="89">
        <v>1000</v>
      </c>
      <c r="M9" s="110"/>
      <c r="N9" s="259"/>
      <c r="O9" s="110"/>
      <c r="Q9" s="70">
        <v>43930</v>
      </c>
      <c r="R9" s="42" t="s">
        <v>106</v>
      </c>
      <c r="S9" s="43">
        <v>2999</v>
      </c>
      <c r="T9" s="184">
        <v>226844</v>
      </c>
      <c r="U9" s="185">
        <f>(T9/S9)</f>
        <v>75.639879959986658</v>
      </c>
      <c r="X9" s="7"/>
      <c r="Y9" s="42" t="s">
        <v>62</v>
      </c>
      <c r="Z9" s="181">
        <v>10000</v>
      </c>
      <c r="AB9" s="34">
        <v>42728</v>
      </c>
      <c r="AC9" s="6" t="s">
        <v>49</v>
      </c>
      <c r="AD9" s="32">
        <v>1008</v>
      </c>
      <c r="AG9" s="172">
        <v>2014</v>
      </c>
      <c r="AH9" s="63">
        <v>20537</v>
      </c>
      <c r="AL9" s="358" t="s">
        <v>394</v>
      </c>
      <c r="AM9"/>
      <c r="AN9" s="81">
        <v>807.88</v>
      </c>
      <c r="AO9" s="51"/>
    </row>
    <row r="10" spans="3:41" ht="20" thickBot="1">
      <c r="C10" s="107">
        <v>45726</v>
      </c>
      <c r="D10" s="6" t="s">
        <v>399</v>
      </c>
      <c r="E10" s="6">
        <v>3000</v>
      </c>
      <c r="G10" s="63"/>
      <c r="J10" s="34">
        <v>45002</v>
      </c>
      <c r="K10" s="142" t="s">
        <v>399</v>
      </c>
      <c r="L10" s="6">
        <v>2000</v>
      </c>
      <c r="M10" s="110"/>
      <c r="N10" s="259"/>
      <c r="O10" s="110"/>
      <c r="Q10" s="34">
        <v>43962</v>
      </c>
      <c r="R10" s="6" t="s">
        <v>62</v>
      </c>
      <c r="S10" s="6">
        <v>3000</v>
      </c>
      <c r="T10" s="6">
        <v>225250</v>
      </c>
      <c r="U10" s="185">
        <f t="shared" ref="U10:U18" si="0">(T10/S10)</f>
        <v>75.083333333333329</v>
      </c>
      <c r="X10" s="7"/>
      <c r="Y10" s="42" t="s">
        <v>62</v>
      </c>
      <c r="Z10" s="181">
        <v>1000</v>
      </c>
      <c r="AB10" s="34">
        <v>42726</v>
      </c>
      <c r="AC10" s="6" t="s">
        <v>62</v>
      </c>
      <c r="AD10" s="32">
        <v>1001</v>
      </c>
      <c r="AG10" s="172">
        <v>2015</v>
      </c>
      <c r="AH10" s="63">
        <v>28279</v>
      </c>
      <c r="AL10" s="359" t="s">
        <v>393</v>
      </c>
      <c r="AM10"/>
      <c r="AN10" s="27">
        <v>1163.05</v>
      </c>
      <c r="AO10" s="51"/>
    </row>
    <row r="11" spans="3:41" ht="20" thickBot="1">
      <c r="C11" s="107">
        <v>45733</v>
      </c>
      <c r="D11" s="6" t="s">
        <v>399</v>
      </c>
      <c r="E11" s="6">
        <v>3000</v>
      </c>
      <c r="G11" s="63"/>
      <c r="J11" s="34">
        <v>45023</v>
      </c>
      <c r="K11" s="142" t="s">
        <v>399</v>
      </c>
      <c r="L11" s="6">
        <v>2000</v>
      </c>
      <c r="M11" s="110"/>
      <c r="N11" s="259"/>
      <c r="O11" s="110"/>
      <c r="Q11" s="34">
        <v>43989</v>
      </c>
      <c r="R11" s="6" t="s">
        <v>326</v>
      </c>
      <c r="S11" s="6">
        <v>2500</v>
      </c>
      <c r="T11" s="6">
        <v>188900</v>
      </c>
      <c r="U11" s="185">
        <f t="shared" si="0"/>
        <v>75.56</v>
      </c>
      <c r="X11" s="7"/>
      <c r="Y11" s="42" t="s">
        <v>62</v>
      </c>
      <c r="Z11" s="181">
        <v>6000</v>
      </c>
      <c r="AB11" s="34">
        <v>42711</v>
      </c>
      <c r="AC11" s="6" t="s">
        <v>62</v>
      </c>
      <c r="AD11" s="32">
        <v>4920</v>
      </c>
      <c r="AG11" s="172">
        <v>2016</v>
      </c>
      <c r="AH11" s="63">
        <v>20442</v>
      </c>
      <c r="AL11" s="360">
        <v>2020</v>
      </c>
      <c r="AM11"/>
      <c r="AN11" s="27">
        <v>208.35</v>
      </c>
      <c r="AO11" s="51"/>
    </row>
    <row r="12" spans="3:41">
      <c r="C12" s="107">
        <v>45750</v>
      </c>
      <c r="D12" s="6" t="s">
        <v>399</v>
      </c>
      <c r="E12" s="6">
        <v>3000</v>
      </c>
      <c r="G12" s="63"/>
      <c r="J12" s="34">
        <v>45044</v>
      </c>
      <c r="K12" s="142" t="s">
        <v>399</v>
      </c>
      <c r="L12" s="6">
        <v>2000</v>
      </c>
      <c r="N12" s="259"/>
      <c r="O12" s="110"/>
      <c r="Q12" s="34">
        <v>44027</v>
      </c>
      <c r="R12" s="6" t="s">
        <v>326</v>
      </c>
      <c r="S12" s="6">
        <v>2500</v>
      </c>
      <c r="T12" s="6">
        <v>188487</v>
      </c>
      <c r="U12" s="185">
        <f t="shared" si="0"/>
        <v>75.394800000000004</v>
      </c>
      <c r="X12" s="7"/>
      <c r="Y12" s="42" t="s">
        <v>62</v>
      </c>
      <c r="Z12" s="181">
        <v>5000</v>
      </c>
      <c r="AB12" s="34">
        <v>42648</v>
      </c>
      <c r="AC12" s="6" t="s">
        <v>62</v>
      </c>
      <c r="AD12" s="32">
        <v>2999</v>
      </c>
      <c r="AG12" s="172">
        <v>2017</v>
      </c>
      <c r="AH12" s="63">
        <v>1001</v>
      </c>
      <c r="AL12" s="361" t="s">
        <v>392</v>
      </c>
      <c r="AM12"/>
      <c r="AN12" s="268">
        <v>303.94</v>
      </c>
      <c r="AO12" s="51"/>
    </row>
    <row r="13" spans="3:41">
      <c r="C13" s="107">
        <v>45828</v>
      </c>
      <c r="D13" s="6" t="s">
        <v>1870</v>
      </c>
      <c r="E13" s="6">
        <v>100</v>
      </c>
      <c r="G13" s="63"/>
      <c r="J13" s="34">
        <v>45062</v>
      </c>
      <c r="K13" s="142" t="s">
        <v>399</v>
      </c>
      <c r="L13" s="6">
        <v>2000</v>
      </c>
      <c r="N13" s="259"/>
      <c r="O13" s="110"/>
      <c r="Q13" s="34">
        <v>44071</v>
      </c>
      <c r="R13" s="6" t="s">
        <v>343</v>
      </c>
      <c r="S13" s="6">
        <v>3001</v>
      </c>
      <c r="T13" s="6">
        <v>221335</v>
      </c>
      <c r="U13" s="185">
        <f t="shared" si="0"/>
        <v>73.753748750416534</v>
      </c>
      <c r="X13" s="41" t="s">
        <v>168</v>
      </c>
      <c r="Y13" s="181" t="s">
        <v>169</v>
      </c>
      <c r="Z13" s="181">
        <v>9000</v>
      </c>
      <c r="AB13" s="34">
        <v>41903</v>
      </c>
      <c r="AC13" s="6" t="s">
        <v>62</v>
      </c>
      <c r="AD13" s="32">
        <v>2999</v>
      </c>
      <c r="AG13" s="172">
        <v>2018</v>
      </c>
      <c r="AH13" s="63">
        <v>62496</v>
      </c>
      <c r="AL13" s="361" t="s">
        <v>466</v>
      </c>
      <c r="AM13"/>
      <c r="AN13" s="268">
        <v>331.75</v>
      </c>
      <c r="AO13" s="51"/>
    </row>
    <row r="14" spans="3:41">
      <c r="C14" s="107">
        <v>45859</v>
      </c>
      <c r="D14" s="6" t="s">
        <v>399</v>
      </c>
      <c r="E14" s="6">
        <v>3000</v>
      </c>
      <c r="G14" s="63"/>
      <c r="J14" s="34">
        <v>45078</v>
      </c>
      <c r="K14" s="142" t="s">
        <v>399</v>
      </c>
      <c r="L14" s="6">
        <v>2000</v>
      </c>
      <c r="N14" s="259"/>
      <c r="O14" s="110"/>
      <c r="Q14" s="34">
        <v>44095</v>
      </c>
      <c r="R14" s="6" t="s">
        <v>326</v>
      </c>
      <c r="S14" s="6">
        <v>2500</v>
      </c>
      <c r="T14" s="6">
        <v>183838</v>
      </c>
      <c r="U14" s="185">
        <f t="shared" si="0"/>
        <v>73.535200000000003</v>
      </c>
      <c r="X14" s="7"/>
      <c r="Y14" s="7" t="s">
        <v>170</v>
      </c>
      <c r="Z14" s="7">
        <v>3000</v>
      </c>
      <c r="AB14" s="34">
        <v>41892</v>
      </c>
      <c r="AC14" s="6" t="s">
        <v>62</v>
      </c>
      <c r="AD14" s="32">
        <v>2999</v>
      </c>
      <c r="AG14" s="172">
        <v>2019</v>
      </c>
      <c r="AH14" s="63">
        <v>44002</v>
      </c>
      <c r="AL14" s="361" t="s">
        <v>747</v>
      </c>
      <c r="AM14" s="53"/>
      <c r="AN14" s="362">
        <v>462.35</v>
      </c>
      <c r="AO14" s="54"/>
    </row>
    <row r="15" spans="3:41">
      <c r="C15" s="107">
        <v>45887</v>
      </c>
      <c r="D15" s="6" t="s">
        <v>1870</v>
      </c>
      <c r="E15" s="6">
        <v>3000</v>
      </c>
      <c r="G15" s="63"/>
      <c r="J15" s="34">
        <v>45097</v>
      </c>
      <c r="K15" s="142" t="s">
        <v>399</v>
      </c>
      <c r="L15" s="6">
        <v>2000</v>
      </c>
      <c r="N15" s="259"/>
      <c r="O15" s="110"/>
      <c r="Q15" s="34">
        <v>44130</v>
      </c>
      <c r="R15" s="6" t="s">
        <v>326</v>
      </c>
      <c r="S15" s="6">
        <v>2500</v>
      </c>
      <c r="T15" s="6">
        <v>184025</v>
      </c>
      <c r="U15" s="185">
        <f t="shared" si="0"/>
        <v>73.61</v>
      </c>
      <c r="X15" s="7" t="s">
        <v>4</v>
      </c>
      <c r="Y15" s="7" t="s">
        <v>62</v>
      </c>
      <c r="Z15" s="7">
        <v>5000</v>
      </c>
      <c r="AB15" s="34">
        <v>41851</v>
      </c>
      <c r="AC15" s="6" t="s">
        <v>62</v>
      </c>
      <c r="AD15" s="32">
        <v>2999</v>
      </c>
      <c r="AG15" s="172">
        <v>2020</v>
      </c>
      <c r="AH15" s="63">
        <v>49000</v>
      </c>
      <c r="AL15"/>
      <c r="AM15"/>
      <c r="AN15"/>
      <c r="AO15"/>
    </row>
    <row r="16" spans="3:41">
      <c r="C16" s="107"/>
      <c r="G16" s="63"/>
      <c r="J16" s="34">
        <v>45112</v>
      </c>
      <c r="K16" s="6" t="s">
        <v>576</v>
      </c>
      <c r="L16" s="6">
        <v>1000</v>
      </c>
      <c r="N16" s="260"/>
      <c r="O16" s="108"/>
      <c r="Q16" s="34">
        <v>44154</v>
      </c>
      <c r="R16" s="6" t="s">
        <v>326</v>
      </c>
      <c r="S16" s="6">
        <v>2500</v>
      </c>
      <c r="T16" s="6">
        <v>185462</v>
      </c>
      <c r="U16" s="185">
        <f t="shared" si="0"/>
        <v>74.184799999999996</v>
      </c>
      <c r="X16" s="7"/>
      <c r="Y16" s="7" t="s">
        <v>49</v>
      </c>
      <c r="Z16" s="7">
        <v>999</v>
      </c>
      <c r="AB16" s="34">
        <v>42579</v>
      </c>
      <c r="AC16" s="6" t="s">
        <v>62</v>
      </c>
      <c r="AD16" s="32">
        <v>156</v>
      </c>
      <c r="AG16" s="172">
        <v>2021</v>
      </c>
      <c r="AH16" s="63">
        <v>29000</v>
      </c>
    </row>
    <row r="17" spans="3:42" ht="20" thickBot="1">
      <c r="C17" s="107"/>
      <c r="G17" s="63"/>
      <c r="J17" s="34">
        <v>45117</v>
      </c>
      <c r="K17" s="142" t="s">
        <v>399</v>
      </c>
      <c r="L17" s="6">
        <v>2000</v>
      </c>
      <c r="N17" s="32"/>
      <c r="Q17" s="33" t="s">
        <v>371</v>
      </c>
      <c r="R17" s="6" t="s">
        <v>372</v>
      </c>
      <c r="S17" s="6">
        <v>27500</v>
      </c>
      <c r="T17" s="6">
        <v>1980000</v>
      </c>
      <c r="U17" s="185">
        <f t="shared" si="0"/>
        <v>72</v>
      </c>
      <c r="X17" s="7"/>
      <c r="Y17" s="7" t="s">
        <v>107</v>
      </c>
      <c r="Z17" s="7">
        <v>999</v>
      </c>
      <c r="AB17" s="35" t="s">
        <v>137</v>
      </c>
      <c r="AC17" s="6" t="s">
        <v>62</v>
      </c>
      <c r="AD17" s="32">
        <v>453</v>
      </c>
      <c r="AG17" s="172">
        <v>2022</v>
      </c>
      <c r="AH17" s="63">
        <v>27000</v>
      </c>
    </row>
    <row r="18" spans="3:42" ht="20" thickBot="1">
      <c r="C18" s="107"/>
      <c r="G18" s="63"/>
      <c r="J18" s="34">
        <v>45124</v>
      </c>
      <c r="K18" s="142" t="s">
        <v>399</v>
      </c>
      <c r="L18" s="6">
        <v>2000</v>
      </c>
      <c r="N18" s="32"/>
      <c r="Q18" s="55" t="s">
        <v>34</v>
      </c>
      <c r="R18" s="56"/>
      <c r="S18" s="97">
        <v>49000</v>
      </c>
      <c r="T18" s="96">
        <v>3584141</v>
      </c>
      <c r="U18" s="185">
        <f t="shared" si="0"/>
        <v>73.145734693877557</v>
      </c>
      <c r="X18" s="7"/>
      <c r="Y18" s="7" t="s">
        <v>107</v>
      </c>
      <c r="Z18" s="7">
        <v>999</v>
      </c>
      <c r="AB18" s="33"/>
      <c r="AD18" s="32"/>
      <c r="AE18" s="177"/>
      <c r="AF18" s="177"/>
      <c r="AG18" s="172">
        <v>2023</v>
      </c>
      <c r="AH18" s="63">
        <v>30000</v>
      </c>
    </row>
    <row r="19" spans="3:42">
      <c r="C19" s="270"/>
      <c r="G19" s="63"/>
      <c r="J19" s="34">
        <v>45133</v>
      </c>
      <c r="K19" s="142" t="s">
        <v>399</v>
      </c>
      <c r="L19" s="6">
        <v>2000</v>
      </c>
      <c r="N19" s="32"/>
      <c r="V19" s="177"/>
      <c r="X19" s="7"/>
      <c r="Y19" s="7" t="s">
        <v>170</v>
      </c>
      <c r="Z19" s="7">
        <v>2000</v>
      </c>
      <c r="AB19" s="33"/>
      <c r="AD19" s="32"/>
      <c r="AG19" s="172">
        <v>2024</v>
      </c>
      <c r="AH19" s="63">
        <v>39000</v>
      </c>
      <c r="AP19" s="12"/>
    </row>
    <row r="20" spans="3:42">
      <c r="C20" s="107"/>
      <c r="G20" s="63"/>
      <c r="J20" s="34">
        <v>45138</v>
      </c>
      <c r="K20" s="142" t="s">
        <v>399</v>
      </c>
      <c r="L20" s="6">
        <v>2000</v>
      </c>
      <c r="N20" s="32"/>
      <c r="X20" s="7"/>
      <c r="Y20" s="7" t="s">
        <v>62</v>
      </c>
      <c r="Z20" s="7">
        <v>1000</v>
      </c>
      <c r="AB20" s="33"/>
      <c r="AD20" s="32"/>
      <c r="AG20" s="171"/>
      <c r="AH20" s="63"/>
      <c r="AP20" s="12"/>
    </row>
    <row r="21" spans="3:42" ht="20" thickBot="1">
      <c r="C21" s="107"/>
      <c r="G21" s="63"/>
      <c r="J21" s="34">
        <v>45153</v>
      </c>
      <c r="K21" s="142" t="s">
        <v>363</v>
      </c>
      <c r="L21" s="6">
        <v>2000</v>
      </c>
      <c r="N21" s="32"/>
      <c r="X21" s="7"/>
      <c r="Y21" s="7" t="s">
        <v>62</v>
      </c>
      <c r="Z21" s="7">
        <v>1000</v>
      </c>
      <c r="AB21" s="33"/>
      <c r="AD21" s="32"/>
      <c r="AG21" s="173" t="s">
        <v>34</v>
      </c>
      <c r="AH21" s="174">
        <v>350757</v>
      </c>
      <c r="AP21" s="12"/>
    </row>
    <row r="22" spans="3:42" ht="20" thickBot="1">
      <c r="C22" s="271"/>
      <c r="G22" s="63"/>
      <c r="J22" s="34">
        <v>45159</v>
      </c>
      <c r="K22" s="6" t="s">
        <v>399</v>
      </c>
      <c r="L22" s="6">
        <v>2000</v>
      </c>
      <c r="M22" s="256"/>
      <c r="N22" s="32"/>
      <c r="Q22" s="90">
        <v>2021</v>
      </c>
      <c r="R22" s="29"/>
      <c r="S22" s="29" t="s">
        <v>1</v>
      </c>
      <c r="T22" s="29" t="s">
        <v>136</v>
      </c>
      <c r="U22" s="30" t="s">
        <v>319</v>
      </c>
      <c r="X22" s="7"/>
      <c r="Y22" s="7" t="s">
        <v>107</v>
      </c>
      <c r="Z22" s="7">
        <v>999</v>
      </c>
      <c r="AB22" s="55" t="s">
        <v>34</v>
      </c>
      <c r="AC22" s="56"/>
      <c r="AD22" s="99">
        <v>28279</v>
      </c>
      <c r="AH22" s="89" t="s">
        <v>1850</v>
      </c>
      <c r="AI22" s="6" t="s">
        <v>1851</v>
      </c>
      <c r="AP22" s="12"/>
    </row>
    <row r="23" spans="3:42" ht="20" thickBot="1">
      <c r="C23" s="271"/>
      <c r="G23" s="63"/>
      <c r="J23" s="34">
        <v>45228</v>
      </c>
      <c r="K23" s="6" t="s">
        <v>399</v>
      </c>
      <c r="L23" s="6">
        <v>2000</v>
      </c>
      <c r="N23" s="32"/>
      <c r="Q23" s="34">
        <v>44200</v>
      </c>
      <c r="R23" s="88" t="s">
        <v>362</v>
      </c>
      <c r="S23" s="89">
        <v>5000</v>
      </c>
      <c r="T23" s="177"/>
      <c r="U23" s="180"/>
      <c r="X23" s="7"/>
      <c r="Y23" s="7" t="s">
        <v>170</v>
      </c>
      <c r="Z23" s="7">
        <v>2000</v>
      </c>
      <c r="AP23" s="12"/>
    </row>
    <row r="24" spans="3:42" ht="20" thickBot="1">
      <c r="C24" s="265" t="s">
        <v>34</v>
      </c>
      <c r="D24" s="262"/>
      <c r="E24" s="264"/>
      <c r="F24" s="64"/>
      <c r="G24" s="65"/>
      <c r="J24" s="261" t="s">
        <v>618</v>
      </c>
      <c r="K24" s="6" t="s">
        <v>399</v>
      </c>
      <c r="L24" s="6">
        <v>1000</v>
      </c>
      <c r="N24" s="32"/>
      <c r="Q24" s="34">
        <v>44200</v>
      </c>
      <c r="R24" s="6" t="s">
        <v>174</v>
      </c>
      <c r="S24" s="6">
        <v>5000</v>
      </c>
      <c r="U24" s="32"/>
      <c r="X24" s="7"/>
      <c r="Y24" s="7" t="s">
        <v>197</v>
      </c>
      <c r="Z24" s="7">
        <v>2000</v>
      </c>
      <c r="AE24" s="178"/>
      <c r="AF24" s="178"/>
      <c r="AP24" s="12"/>
    </row>
    <row r="25" spans="3:42" ht="20" thickBot="1">
      <c r="J25" s="34">
        <v>45287</v>
      </c>
      <c r="K25" s="6" t="s">
        <v>399</v>
      </c>
      <c r="L25" s="6">
        <v>1000</v>
      </c>
      <c r="N25" s="32"/>
      <c r="Q25" s="34">
        <v>44204</v>
      </c>
      <c r="R25" s="6" t="s">
        <v>326</v>
      </c>
      <c r="S25" s="6">
        <v>2500</v>
      </c>
      <c r="U25" s="32"/>
      <c r="X25" s="7"/>
      <c r="Y25" s="7" t="s">
        <v>197</v>
      </c>
      <c r="Z25" s="7">
        <v>2000</v>
      </c>
      <c r="AB25" s="28">
        <v>2015</v>
      </c>
      <c r="AC25" s="29"/>
      <c r="AD25" s="30" t="s">
        <v>1</v>
      </c>
      <c r="AP25" s="12"/>
    </row>
    <row r="26" spans="3:42" ht="20" thickBot="1">
      <c r="J26" s="265" t="s">
        <v>34</v>
      </c>
      <c r="K26" s="262"/>
      <c r="L26" s="264">
        <v>30000</v>
      </c>
      <c r="M26" s="262"/>
      <c r="N26" s="263"/>
      <c r="Q26" s="34">
        <v>44208</v>
      </c>
      <c r="R26" s="6" t="s">
        <v>326</v>
      </c>
      <c r="S26" s="6">
        <v>2500</v>
      </c>
      <c r="U26" s="32"/>
      <c r="X26" s="7"/>
      <c r="Y26" s="7" t="s">
        <v>106</v>
      </c>
      <c r="Z26" s="7">
        <v>1500</v>
      </c>
      <c r="AB26" s="34">
        <v>42701</v>
      </c>
      <c r="AC26" s="6" t="s">
        <v>62</v>
      </c>
      <c r="AD26" s="32">
        <v>2300</v>
      </c>
      <c r="AP26" s="12"/>
    </row>
    <row r="27" spans="3:42">
      <c r="Q27" s="34">
        <v>44215</v>
      </c>
      <c r="R27" s="6" t="s">
        <v>363</v>
      </c>
      <c r="S27" s="6">
        <v>2500</v>
      </c>
      <c r="U27" s="32"/>
      <c r="X27" s="7"/>
      <c r="Y27" s="7" t="s">
        <v>170</v>
      </c>
      <c r="Z27" s="7">
        <v>2000</v>
      </c>
      <c r="AB27" s="35" t="s">
        <v>77</v>
      </c>
      <c r="AC27" s="6" t="s">
        <v>62</v>
      </c>
      <c r="AD27" s="32">
        <v>1601</v>
      </c>
      <c r="AP27" s="12"/>
    </row>
    <row r="28" spans="3:42" ht="20" thickBot="1">
      <c r="Q28" s="34">
        <v>44216</v>
      </c>
      <c r="R28" s="6" t="s">
        <v>343</v>
      </c>
      <c r="S28" s="6">
        <v>2500</v>
      </c>
      <c r="U28" s="32"/>
      <c r="X28" s="7" t="s">
        <v>5</v>
      </c>
      <c r="Y28" s="7" t="s">
        <v>196</v>
      </c>
      <c r="Z28" s="7">
        <v>2000</v>
      </c>
      <c r="AB28" s="35" t="s">
        <v>76</v>
      </c>
      <c r="AC28" s="6" t="s">
        <v>62</v>
      </c>
      <c r="AD28" s="32">
        <v>2999</v>
      </c>
      <c r="AP28" s="12"/>
    </row>
    <row r="29" spans="3:42">
      <c r="J29" s="36">
        <v>2024</v>
      </c>
      <c r="K29" s="29"/>
      <c r="L29" s="257" t="s">
        <v>1</v>
      </c>
      <c r="M29" s="257" t="s">
        <v>136</v>
      </c>
      <c r="N29" s="258" t="s">
        <v>463</v>
      </c>
      <c r="Q29" s="34">
        <v>44294</v>
      </c>
      <c r="R29" s="6" t="s">
        <v>363</v>
      </c>
      <c r="S29" s="6">
        <v>2500</v>
      </c>
      <c r="U29" s="183"/>
      <c r="X29" s="7"/>
      <c r="Y29" s="7" t="s">
        <v>196</v>
      </c>
      <c r="Z29" s="7">
        <v>1000</v>
      </c>
      <c r="AB29" s="34">
        <v>42565</v>
      </c>
      <c r="AC29" s="6" t="s">
        <v>49</v>
      </c>
      <c r="AD29" s="32">
        <v>1585</v>
      </c>
      <c r="AP29" s="12"/>
    </row>
    <row r="30" spans="3:42">
      <c r="J30" s="107">
        <v>45320</v>
      </c>
      <c r="K30" s="6" t="s">
        <v>399</v>
      </c>
      <c r="L30" s="6">
        <v>1000</v>
      </c>
      <c r="N30" s="63"/>
      <c r="Q30" s="34">
        <v>44330</v>
      </c>
      <c r="R30" s="6" t="s">
        <v>363</v>
      </c>
      <c r="S30" s="6">
        <v>2500</v>
      </c>
      <c r="U30" s="32"/>
      <c r="X30" s="7" t="s">
        <v>6</v>
      </c>
      <c r="Y30" s="7" t="s">
        <v>196</v>
      </c>
      <c r="Z30" s="7">
        <v>1000</v>
      </c>
      <c r="AB30" s="35" t="s">
        <v>75</v>
      </c>
      <c r="AC30" s="6" t="s">
        <v>49</v>
      </c>
      <c r="AD30" s="32">
        <v>1575</v>
      </c>
      <c r="AP30" s="12"/>
    </row>
    <row r="31" spans="3:42">
      <c r="J31" s="107">
        <v>45397</v>
      </c>
      <c r="K31" s="6" t="s">
        <v>399</v>
      </c>
      <c r="L31" s="6">
        <v>3000</v>
      </c>
      <c r="N31" s="63"/>
      <c r="Q31" s="33" t="s">
        <v>4</v>
      </c>
      <c r="R31" s="6" t="s">
        <v>363</v>
      </c>
      <c r="S31" s="6">
        <v>1000</v>
      </c>
      <c r="U31" s="32"/>
      <c r="X31" s="7"/>
      <c r="Y31" s="7" t="s">
        <v>196</v>
      </c>
      <c r="Z31" s="7">
        <v>1000</v>
      </c>
      <c r="AB31" s="35" t="s">
        <v>74</v>
      </c>
      <c r="AC31" s="6" t="s">
        <v>49</v>
      </c>
      <c r="AD31" s="32">
        <v>2714</v>
      </c>
    </row>
    <row r="32" spans="3:42" ht="20" thickBot="1">
      <c r="J32" s="107">
        <v>45404</v>
      </c>
      <c r="K32" s="6" t="s">
        <v>399</v>
      </c>
      <c r="L32" s="6">
        <v>3000</v>
      </c>
      <c r="N32" s="63"/>
      <c r="Q32" s="33" t="s">
        <v>5</v>
      </c>
      <c r="R32" s="6" t="s">
        <v>399</v>
      </c>
      <c r="S32" s="6">
        <v>1000</v>
      </c>
      <c r="U32" s="32"/>
      <c r="X32" s="59"/>
      <c r="Y32" s="59"/>
      <c r="Z32" s="59"/>
      <c r="AB32" s="35" t="s">
        <v>73</v>
      </c>
      <c r="AC32" s="6" t="s">
        <v>49</v>
      </c>
      <c r="AD32" s="32">
        <v>2999</v>
      </c>
    </row>
    <row r="33" spans="10:41" ht="20" thickBot="1">
      <c r="J33" s="107">
        <v>45414</v>
      </c>
      <c r="K33" s="6" t="s">
        <v>399</v>
      </c>
      <c r="L33" s="6">
        <v>2000</v>
      </c>
      <c r="N33" s="63"/>
      <c r="Q33" s="33" t="s">
        <v>7</v>
      </c>
      <c r="R33" s="6" t="s">
        <v>399</v>
      </c>
      <c r="S33" s="6">
        <v>1000</v>
      </c>
      <c r="U33" s="32"/>
      <c r="X33" s="58" t="s">
        <v>34</v>
      </c>
      <c r="Y33" s="56"/>
      <c r="Z33" s="98">
        <v>62496</v>
      </c>
      <c r="AB33" s="35" t="s">
        <v>72</v>
      </c>
      <c r="AC33" s="6" t="s">
        <v>49</v>
      </c>
      <c r="AD33" s="32">
        <v>2999</v>
      </c>
    </row>
    <row r="34" spans="10:41" ht="20" thickBot="1">
      <c r="J34" s="107">
        <v>45418</v>
      </c>
      <c r="K34" s="6" t="s">
        <v>399</v>
      </c>
      <c r="L34" s="6">
        <v>3000</v>
      </c>
      <c r="N34" s="63"/>
      <c r="Q34" s="33" t="s">
        <v>9</v>
      </c>
      <c r="R34" s="6" t="s">
        <v>399</v>
      </c>
      <c r="S34" s="6">
        <v>1000</v>
      </c>
      <c r="U34" s="32"/>
      <c r="AB34" s="35" t="s">
        <v>71</v>
      </c>
      <c r="AC34" s="6" t="s">
        <v>49</v>
      </c>
      <c r="AD34" s="32">
        <v>1757</v>
      </c>
    </row>
    <row r="35" spans="10:41" ht="20" thickBot="1">
      <c r="J35" s="107">
        <v>45481</v>
      </c>
      <c r="K35" s="6" t="s">
        <v>399</v>
      </c>
      <c r="L35" s="6">
        <v>3000</v>
      </c>
      <c r="N35" s="63"/>
      <c r="Q35" s="55" t="s">
        <v>34</v>
      </c>
      <c r="R35" s="56"/>
      <c r="S35" s="97">
        <v>29000</v>
      </c>
      <c r="T35" s="56"/>
      <c r="U35" s="57"/>
      <c r="AB35" s="35" t="s">
        <v>70</v>
      </c>
      <c r="AC35" s="6" t="s">
        <v>49</v>
      </c>
      <c r="AD35" s="32">
        <v>1750</v>
      </c>
    </row>
    <row r="36" spans="10:41">
      <c r="J36" s="107">
        <v>45495</v>
      </c>
      <c r="K36" s="6" t="s">
        <v>399</v>
      </c>
      <c r="L36" s="6">
        <v>3000</v>
      </c>
      <c r="N36" s="63"/>
      <c r="X36" s="40">
        <v>2019</v>
      </c>
      <c r="Y36" s="7"/>
      <c r="Z36" s="7" t="s">
        <v>1</v>
      </c>
      <c r="AB36" s="35" t="s">
        <v>69</v>
      </c>
      <c r="AC36" s="6" t="s">
        <v>49</v>
      </c>
      <c r="AD36" s="32">
        <v>1000</v>
      </c>
    </row>
    <row r="37" spans="10:41">
      <c r="J37" s="107">
        <v>45533</v>
      </c>
      <c r="K37" s="6" t="s">
        <v>399</v>
      </c>
      <c r="L37" s="6">
        <v>3000</v>
      </c>
      <c r="N37" s="63"/>
      <c r="X37" s="41">
        <v>43497</v>
      </c>
      <c r="Y37" s="42" t="s">
        <v>215</v>
      </c>
      <c r="Z37" s="43">
        <v>3000</v>
      </c>
      <c r="AB37" s="34">
        <v>42397</v>
      </c>
      <c r="AC37" s="6" t="s">
        <v>49</v>
      </c>
      <c r="AD37" s="32">
        <v>2500</v>
      </c>
    </row>
    <row r="38" spans="10:41">
      <c r="J38" s="107">
        <v>45544</v>
      </c>
      <c r="K38" s="6" t="s">
        <v>399</v>
      </c>
      <c r="L38" s="6">
        <v>4000</v>
      </c>
      <c r="N38" s="63"/>
      <c r="X38" s="41">
        <v>43529</v>
      </c>
      <c r="Y38" s="7" t="s">
        <v>237</v>
      </c>
      <c r="Z38" s="43">
        <v>2001</v>
      </c>
      <c r="AB38" s="34">
        <v>42396</v>
      </c>
      <c r="AC38" s="6" t="s">
        <v>49</v>
      </c>
      <c r="AD38" s="32">
        <v>2500</v>
      </c>
    </row>
    <row r="39" spans="10:41" ht="20" thickBot="1">
      <c r="J39" s="107">
        <v>45544</v>
      </c>
      <c r="K39" s="6" t="s">
        <v>399</v>
      </c>
      <c r="L39" s="6">
        <v>1000</v>
      </c>
      <c r="N39" s="63"/>
      <c r="Q39" s="103">
        <v>2022</v>
      </c>
      <c r="R39" s="104"/>
      <c r="S39" s="105" t="s">
        <v>1</v>
      </c>
      <c r="T39" s="105" t="s">
        <v>136</v>
      </c>
      <c r="U39" s="106" t="s">
        <v>463</v>
      </c>
      <c r="X39" s="41">
        <v>43544</v>
      </c>
      <c r="Y39" s="7" t="s">
        <v>238</v>
      </c>
      <c r="Z39" s="43">
        <v>1488</v>
      </c>
      <c r="AB39" s="33"/>
      <c r="AD39" s="32"/>
    </row>
    <row r="40" spans="10:41" ht="20" thickBot="1">
      <c r="J40" s="270" t="s">
        <v>744</v>
      </c>
      <c r="K40" s="6" t="s">
        <v>399</v>
      </c>
      <c r="L40" s="6">
        <v>5000</v>
      </c>
      <c r="N40" s="63"/>
      <c r="Q40" s="107">
        <v>44591</v>
      </c>
      <c r="R40" s="95" t="s">
        <v>399</v>
      </c>
      <c r="S40" s="89">
        <v>1000</v>
      </c>
      <c r="T40" s="6">
        <v>74762</v>
      </c>
      <c r="U40" s="111">
        <f>(T40/S40)</f>
        <v>74.762</v>
      </c>
      <c r="X40" s="41">
        <v>43545</v>
      </c>
      <c r="Y40" s="7" t="s">
        <v>239</v>
      </c>
      <c r="Z40" s="43">
        <v>2512</v>
      </c>
      <c r="AB40" s="55" t="s">
        <v>34</v>
      </c>
      <c r="AC40" s="56"/>
      <c r="AD40" s="99">
        <v>28279</v>
      </c>
    </row>
    <row r="41" spans="10:41">
      <c r="J41" s="107">
        <v>45601</v>
      </c>
      <c r="K41" s="6" t="s">
        <v>399</v>
      </c>
      <c r="L41" s="6">
        <v>5000</v>
      </c>
      <c r="N41" s="63"/>
      <c r="Q41" s="107">
        <v>44620</v>
      </c>
      <c r="R41" s="95" t="s">
        <v>363</v>
      </c>
      <c r="S41" s="6">
        <v>1000</v>
      </c>
      <c r="T41" s="6">
        <v>75273</v>
      </c>
      <c r="U41" s="111">
        <f t="shared" ref="U41:U53" si="1">(T41/S41)</f>
        <v>75.272999999999996</v>
      </c>
      <c r="X41" s="41">
        <v>43552</v>
      </c>
      <c r="Y41" s="7" t="s">
        <v>239</v>
      </c>
      <c r="Z41" s="43">
        <v>1000.99</v>
      </c>
      <c r="AO41" s="182"/>
    </row>
    <row r="42" spans="10:41">
      <c r="J42" s="107">
        <v>45642</v>
      </c>
      <c r="K42" s="6" t="s">
        <v>399</v>
      </c>
      <c r="L42" s="6">
        <v>3000</v>
      </c>
      <c r="N42" s="63"/>
      <c r="Q42" s="107">
        <v>44651</v>
      </c>
      <c r="R42" s="6" t="s">
        <v>399</v>
      </c>
      <c r="S42" s="6">
        <v>1500</v>
      </c>
      <c r="T42" s="6">
        <v>113197</v>
      </c>
      <c r="U42" s="111">
        <f t="shared" si="1"/>
        <v>75.464666666666673</v>
      </c>
      <c r="X42" s="41">
        <v>43558</v>
      </c>
      <c r="Y42" s="7" t="s">
        <v>240</v>
      </c>
      <c r="Z42" s="43">
        <v>3000</v>
      </c>
      <c r="AO42" s="182"/>
    </row>
    <row r="43" spans="10:41" ht="20" thickBot="1">
      <c r="J43" s="271"/>
      <c r="N43" s="63"/>
      <c r="Q43" s="107">
        <v>44677</v>
      </c>
      <c r="R43" s="6" t="s">
        <v>399</v>
      </c>
      <c r="S43" s="6">
        <v>1500</v>
      </c>
      <c r="T43" s="6">
        <v>114465</v>
      </c>
      <c r="U43" s="111">
        <f t="shared" si="1"/>
        <v>76.31</v>
      </c>
      <c r="X43" s="41">
        <v>43563</v>
      </c>
      <c r="Y43" s="7" t="s">
        <v>239</v>
      </c>
      <c r="Z43" s="43">
        <v>3000</v>
      </c>
    </row>
    <row r="44" spans="10:41" ht="20" thickBot="1">
      <c r="J44" s="271"/>
      <c r="N44" s="63"/>
      <c r="Q44" s="107">
        <v>44707</v>
      </c>
      <c r="R44" s="6" t="s">
        <v>399</v>
      </c>
      <c r="S44" s="6">
        <v>2000</v>
      </c>
      <c r="T44" s="6">
        <v>154572</v>
      </c>
      <c r="U44" s="111">
        <f t="shared" si="1"/>
        <v>77.286000000000001</v>
      </c>
      <c r="X44" s="41">
        <v>43598</v>
      </c>
      <c r="Y44" s="7" t="s">
        <v>239</v>
      </c>
      <c r="Z44" s="7">
        <v>3000</v>
      </c>
      <c r="AB44" s="28">
        <v>2016</v>
      </c>
      <c r="AC44" s="29"/>
      <c r="AD44" s="30" t="s">
        <v>1</v>
      </c>
    </row>
    <row r="45" spans="10:41" ht="20" thickBot="1">
      <c r="J45" s="265" t="s">
        <v>34</v>
      </c>
      <c r="K45" s="262"/>
      <c r="L45" s="264">
        <v>39000</v>
      </c>
      <c r="M45" s="64"/>
      <c r="N45" s="65"/>
      <c r="Q45" s="107">
        <v>44742</v>
      </c>
      <c r="R45" s="6" t="s">
        <v>399</v>
      </c>
      <c r="S45" s="6">
        <v>2000</v>
      </c>
      <c r="T45" s="6">
        <v>157305</v>
      </c>
      <c r="U45" s="111">
        <f t="shared" si="1"/>
        <v>78.652500000000003</v>
      </c>
      <c r="X45" s="41">
        <v>43600</v>
      </c>
      <c r="Y45" s="7" t="s">
        <v>174</v>
      </c>
      <c r="Z45" s="7">
        <v>3000</v>
      </c>
      <c r="AB45" s="31">
        <v>42642</v>
      </c>
      <c r="AC45" s="6" t="s">
        <v>62</v>
      </c>
      <c r="AD45" s="32">
        <v>1546</v>
      </c>
    </row>
    <row r="46" spans="10:41">
      <c r="J46" s="108"/>
      <c r="Q46" s="107">
        <v>44767</v>
      </c>
      <c r="R46" s="6" t="s">
        <v>399</v>
      </c>
      <c r="S46" s="6">
        <v>2000</v>
      </c>
      <c r="T46" s="6">
        <v>159240</v>
      </c>
      <c r="U46" s="111">
        <f t="shared" si="1"/>
        <v>79.62</v>
      </c>
      <c r="X46" s="41">
        <v>43607</v>
      </c>
      <c r="Y46" s="7" t="s">
        <v>246</v>
      </c>
      <c r="Z46" s="7">
        <v>3000</v>
      </c>
      <c r="AB46" s="31">
        <v>42635</v>
      </c>
      <c r="AC46" s="6" t="s">
        <v>62</v>
      </c>
      <c r="AD46" s="32">
        <v>2999</v>
      </c>
    </row>
    <row r="47" spans="10:41">
      <c r="Q47" s="107">
        <v>44801</v>
      </c>
      <c r="R47" s="6" t="s">
        <v>399</v>
      </c>
      <c r="S47" s="6">
        <v>2000</v>
      </c>
      <c r="T47" s="6">
        <v>159220</v>
      </c>
      <c r="U47" s="111">
        <f t="shared" si="1"/>
        <v>79.61</v>
      </c>
      <c r="X47" s="41">
        <v>43623</v>
      </c>
      <c r="Y47" s="7" t="s">
        <v>239</v>
      </c>
      <c r="Z47" s="7">
        <v>3000</v>
      </c>
      <c r="AB47" s="31">
        <v>42580</v>
      </c>
      <c r="AC47" s="6" t="s">
        <v>62</v>
      </c>
      <c r="AD47" s="32">
        <v>2999</v>
      </c>
    </row>
    <row r="48" spans="10:41">
      <c r="Q48" s="142">
        <v>44820</v>
      </c>
      <c r="R48" s="6" t="s">
        <v>399</v>
      </c>
      <c r="S48" s="6">
        <v>3000</v>
      </c>
      <c r="T48" s="6">
        <v>238032</v>
      </c>
      <c r="U48" s="111">
        <f t="shared" si="1"/>
        <v>79.343999999999994</v>
      </c>
      <c r="X48" s="41">
        <v>43679</v>
      </c>
      <c r="Y48" s="7" t="s">
        <v>239</v>
      </c>
      <c r="Z48" s="7">
        <v>5000</v>
      </c>
      <c r="AB48" s="31">
        <v>42579</v>
      </c>
      <c r="AC48" s="6" t="s">
        <v>49</v>
      </c>
      <c r="AD48" s="32">
        <v>999</v>
      </c>
    </row>
    <row r="49" spans="17:30">
      <c r="Q49" s="107">
        <v>44834</v>
      </c>
      <c r="R49" s="6" t="s">
        <v>399</v>
      </c>
      <c r="S49" s="6">
        <v>3000</v>
      </c>
      <c r="T49" s="6">
        <v>241521</v>
      </c>
      <c r="U49" s="111">
        <f t="shared" si="1"/>
        <v>80.507000000000005</v>
      </c>
      <c r="X49" s="41">
        <v>43698</v>
      </c>
      <c r="Y49" s="7" t="s">
        <v>239</v>
      </c>
      <c r="Z49" s="7">
        <v>5000</v>
      </c>
      <c r="AB49" s="31">
        <v>42578</v>
      </c>
      <c r="AC49" s="6" t="s">
        <v>49</v>
      </c>
      <c r="AD49" s="32">
        <v>999</v>
      </c>
    </row>
    <row r="50" spans="17:30">
      <c r="Q50" s="107">
        <v>44840</v>
      </c>
      <c r="R50" s="6" t="s">
        <v>399</v>
      </c>
      <c r="S50" s="6">
        <v>4000</v>
      </c>
      <c r="T50" s="6">
        <v>326282</v>
      </c>
      <c r="U50" s="111">
        <f t="shared" si="1"/>
        <v>81.570499999999996</v>
      </c>
      <c r="X50" s="41">
        <v>43717</v>
      </c>
      <c r="Y50" s="7" t="s">
        <v>62</v>
      </c>
      <c r="Z50" s="7">
        <v>3000</v>
      </c>
      <c r="AB50" s="31">
        <v>42543</v>
      </c>
      <c r="AC50" s="6" t="s">
        <v>49</v>
      </c>
      <c r="AD50" s="32">
        <v>501</v>
      </c>
    </row>
    <row r="51" spans="17:30">
      <c r="Q51" s="107">
        <v>44895</v>
      </c>
      <c r="R51" s="6" t="s">
        <v>399</v>
      </c>
      <c r="S51" s="6">
        <v>2000</v>
      </c>
      <c r="T51" s="6">
        <v>162831</v>
      </c>
      <c r="U51" s="111">
        <f t="shared" si="1"/>
        <v>81.415499999999994</v>
      </c>
      <c r="X51" s="41">
        <v>43731</v>
      </c>
      <c r="Y51" s="7" t="s">
        <v>239</v>
      </c>
      <c r="Z51" s="7">
        <v>3000</v>
      </c>
      <c r="AB51" s="31">
        <v>42542</v>
      </c>
      <c r="AC51" s="6" t="s">
        <v>49</v>
      </c>
      <c r="AD51" s="32">
        <v>999</v>
      </c>
    </row>
    <row r="52" spans="17:30" ht="20" thickBot="1">
      <c r="Q52" s="107">
        <v>45289</v>
      </c>
      <c r="R52" s="6" t="s">
        <v>399</v>
      </c>
      <c r="S52" s="6">
        <v>2000</v>
      </c>
      <c r="T52" s="6">
        <v>165046</v>
      </c>
      <c r="U52" s="111">
        <f t="shared" si="1"/>
        <v>82.522999999999996</v>
      </c>
      <c r="X52" s="7"/>
      <c r="Y52" s="179"/>
      <c r="Z52" s="7"/>
      <c r="AB52" s="31">
        <v>42531</v>
      </c>
      <c r="AC52" s="6" t="s">
        <v>62</v>
      </c>
      <c r="AD52" s="32">
        <v>2903</v>
      </c>
    </row>
    <row r="53" spans="17:30" ht="20" thickBot="1">
      <c r="Q53" s="55" t="s">
        <v>34</v>
      </c>
      <c r="R53" s="64"/>
      <c r="S53" s="169">
        <v>27000</v>
      </c>
      <c r="T53" s="64">
        <v>2141746</v>
      </c>
      <c r="U53" s="111">
        <f t="shared" si="1"/>
        <v>79.32392592592592</v>
      </c>
      <c r="X53" s="59"/>
      <c r="Y53" s="59"/>
      <c r="Z53" s="59"/>
      <c r="AB53" s="31">
        <v>42523</v>
      </c>
      <c r="AC53" s="6" t="s">
        <v>106</v>
      </c>
      <c r="AD53" s="32">
        <v>2999</v>
      </c>
    </row>
    <row r="54" spans="17:30" ht="20" thickBot="1">
      <c r="X54" s="58" t="s">
        <v>34</v>
      </c>
      <c r="Y54" s="56"/>
      <c r="Z54" s="98">
        <v>44001.99</v>
      </c>
      <c r="AB54" s="31">
        <v>42522</v>
      </c>
      <c r="AC54" s="6" t="s">
        <v>49</v>
      </c>
      <c r="AD54" s="32">
        <v>501</v>
      </c>
    </row>
    <row r="55" spans="17:30">
      <c r="AB55" s="31">
        <v>42522</v>
      </c>
      <c r="AC55" s="6" t="s">
        <v>49</v>
      </c>
      <c r="AD55" s="32">
        <v>999</v>
      </c>
    </row>
    <row r="56" spans="17:30">
      <c r="AB56" s="31">
        <v>42522</v>
      </c>
      <c r="AC56" s="6" t="s">
        <v>107</v>
      </c>
      <c r="AD56" s="32">
        <v>999</v>
      </c>
    </row>
    <row r="57" spans="17:30">
      <c r="AB57" s="31">
        <v>42514</v>
      </c>
      <c r="AC57" s="6" t="s">
        <v>49</v>
      </c>
      <c r="AD57" s="32">
        <v>999</v>
      </c>
    </row>
    <row r="58" spans="17:30" ht="20" thickBot="1">
      <c r="AB58" s="33"/>
      <c r="AD58" s="32"/>
    </row>
    <row r="59" spans="17:30" ht="20" thickBot="1">
      <c r="AB59" s="55" t="s">
        <v>34</v>
      </c>
      <c r="AC59" s="56"/>
      <c r="AD59" s="99">
        <v>20442</v>
      </c>
    </row>
    <row r="61" spans="17:30" ht="20" thickBot="1"/>
    <row r="62" spans="17:30">
      <c r="AB62" s="36">
        <v>2017</v>
      </c>
      <c r="AC62" s="29"/>
      <c r="AD62" s="30" t="s">
        <v>1</v>
      </c>
    </row>
    <row r="63" spans="17:30" ht="20" thickBot="1">
      <c r="AB63" s="37">
        <v>42792</v>
      </c>
      <c r="AC63" s="38" t="s">
        <v>62</v>
      </c>
      <c r="AD63" s="39">
        <v>1001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4:X110"/>
  <sheetViews>
    <sheetView topLeftCell="A50" workbookViewId="0">
      <selection activeCell="H30" sqref="H30"/>
    </sheetView>
  </sheetViews>
  <sheetFormatPr baseColWidth="10" defaultColWidth="8.83203125" defaultRowHeight="19"/>
  <cols>
    <col min="1" max="2" width="8.83203125" style="145"/>
    <col min="3" max="3" width="15" style="145" bestFit="1" customWidth="1"/>
    <col min="4" max="4" width="12.1640625" style="145" bestFit="1" customWidth="1"/>
    <col min="5" max="5" width="25.83203125" style="145" customWidth="1"/>
    <col min="6" max="6" width="15.1640625" style="145" customWidth="1"/>
    <col min="7" max="7" width="22.33203125" style="145" bestFit="1" customWidth="1"/>
    <col min="8" max="8" width="22.33203125" style="145" customWidth="1"/>
    <col min="9" max="9" width="8.83203125" style="145"/>
    <col min="10" max="10" width="39.1640625" style="145" customWidth="1"/>
    <col min="11" max="11" width="9.83203125" style="145" bestFit="1" customWidth="1"/>
    <col min="12" max="12" width="22.6640625" style="145" bestFit="1" customWidth="1"/>
    <col min="13" max="13" width="17.1640625" style="145" bestFit="1" customWidth="1"/>
    <col min="14" max="14" width="11.5" style="145" bestFit="1" customWidth="1"/>
    <col min="15" max="15" width="19" style="145" bestFit="1" customWidth="1"/>
    <col min="16" max="16" width="8.83203125" style="145"/>
    <col min="17" max="17" width="19.1640625" style="145" customWidth="1"/>
    <col min="18" max="21" width="8.83203125" style="145"/>
    <col min="22" max="22" width="24.33203125" style="145" customWidth="1"/>
    <col min="23" max="23" width="24.83203125" style="145" customWidth="1"/>
    <col min="24" max="16384" width="8.83203125" style="145"/>
  </cols>
  <sheetData>
    <row r="4" spans="3:24">
      <c r="C4" s="165" t="s">
        <v>242</v>
      </c>
      <c r="D4" s="143"/>
      <c r="E4" s="143"/>
      <c r="F4" s="175" t="s">
        <v>1</v>
      </c>
      <c r="G4" s="166"/>
      <c r="P4" s="253" t="s">
        <v>491</v>
      </c>
    </row>
    <row r="5" spans="3:24">
      <c r="C5" s="204">
        <v>2014</v>
      </c>
      <c r="D5" s="272" t="s">
        <v>4</v>
      </c>
      <c r="E5" s="272" t="s">
        <v>63</v>
      </c>
      <c r="F5" s="108">
        <v>1050</v>
      </c>
      <c r="G5" s="273"/>
      <c r="J5" s="147" t="s">
        <v>92</v>
      </c>
      <c r="K5" s="148" t="s">
        <v>109</v>
      </c>
      <c r="L5" s="144" t="s">
        <v>96</v>
      </c>
      <c r="M5" s="148" t="s">
        <v>110</v>
      </c>
      <c r="P5" s="3" t="s">
        <v>125</v>
      </c>
      <c r="Q5" s="1"/>
      <c r="R5" s="61" t="s">
        <v>1</v>
      </c>
      <c r="S5" s="1"/>
      <c r="T5"/>
      <c r="U5"/>
      <c r="V5" s="3" t="s">
        <v>95</v>
      </c>
      <c r="W5" s="1"/>
      <c r="X5" s="61" t="s">
        <v>136</v>
      </c>
    </row>
    <row r="6" spans="3:24">
      <c r="C6" s="204">
        <v>2014</v>
      </c>
      <c r="D6" s="272" t="s">
        <v>5</v>
      </c>
      <c r="E6" s="272" t="s">
        <v>64</v>
      </c>
      <c r="F6" s="108">
        <v>450</v>
      </c>
      <c r="G6" s="273"/>
      <c r="J6" s="144" t="s">
        <v>93</v>
      </c>
      <c r="K6" s="144">
        <v>1124</v>
      </c>
      <c r="L6" s="144" t="s">
        <v>99</v>
      </c>
      <c r="M6" s="144">
        <v>9000</v>
      </c>
      <c r="P6" s="1" t="s">
        <v>322</v>
      </c>
      <c r="Q6" s="1" t="s">
        <v>55</v>
      </c>
      <c r="R6" s="2">
        <v>407.36</v>
      </c>
      <c r="S6" s="1" t="s">
        <v>56</v>
      </c>
      <c r="T6"/>
      <c r="U6"/>
      <c r="V6" s="1" t="s">
        <v>127</v>
      </c>
      <c r="W6" s="1" t="s">
        <v>128</v>
      </c>
      <c r="X6" s="1">
        <v>20000</v>
      </c>
    </row>
    <row r="7" spans="3:24">
      <c r="C7" s="204">
        <v>2014</v>
      </c>
      <c r="D7" s="272" t="s">
        <v>6</v>
      </c>
      <c r="E7" s="272" t="s">
        <v>65</v>
      </c>
      <c r="F7" s="108">
        <v>800</v>
      </c>
      <c r="G7" s="273"/>
      <c r="J7" s="144" t="s">
        <v>94</v>
      </c>
      <c r="K7" s="144">
        <v>1200</v>
      </c>
      <c r="L7" s="144" t="s">
        <v>100</v>
      </c>
      <c r="M7" s="144">
        <v>50000</v>
      </c>
      <c r="P7" s="1" t="s">
        <v>323</v>
      </c>
      <c r="Q7" s="1" t="s">
        <v>46</v>
      </c>
      <c r="R7" s="2">
        <v>100</v>
      </c>
      <c r="S7" s="1"/>
      <c r="T7"/>
      <c r="U7"/>
      <c r="V7" s="4" t="s">
        <v>126</v>
      </c>
      <c r="W7" s="1" t="s">
        <v>58</v>
      </c>
      <c r="X7" s="1">
        <v>5300</v>
      </c>
    </row>
    <row r="8" spans="3:24">
      <c r="C8" s="204">
        <v>2015</v>
      </c>
      <c r="D8" s="272" t="s">
        <v>36</v>
      </c>
      <c r="E8" s="272" t="s">
        <v>54</v>
      </c>
      <c r="F8" s="108">
        <v>300</v>
      </c>
      <c r="G8" s="273"/>
      <c r="J8" s="144" t="s">
        <v>332</v>
      </c>
      <c r="K8" s="144">
        <v>1045</v>
      </c>
      <c r="L8" s="144" t="s">
        <v>101</v>
      </c>
      <c r="M8" s="144">
        <v>3300</v>
      </c>
      <c r="P8" s="1" t="s">
        <v>324</v>
      </c>
      <c r="Q8" s="1" t="s">
        <v>28</v>
      </c>
      <c r="R8" s="1">
        <v>50</v>
      </c>
      <c r="S8" s="1"/>
      <c r="T8"/>
      <c r="U8"/>
      <c r="V8" s="1"/>
      <c r="W8" s="1" t="s">
        <v>187</v>
      </c>
      <c r="X8" s="1">
        <v>7900</v>
      </c>
    </row>
    <row r="9" spans="3:24">
      <c r="C9" s="204">
        <v>2015</v>
      </c>
      <c r="D9" s="272" t="s">
        <v>37</v>
      </c>
      <c r="E9" s="272" t="s">
        <v>66</v>
      </c>
      <c r="F9" s="108">
        <v>600</v>
      </c>
      <c r="G9" s="273"/>
      <c r="J9" s="144" t="s">
        <v>98</v>
      </c>
      <c r="K9" s="144">
        <v>1736</v>
      </c>
      <c r="L9" s="144" t="s">
        <v>102</v>
      </c>
      <c r="M9" s="144">
        <v>1100</v>
      </c>
      <c r="P9" s="1" t="s">
        <v>325</v>
      </c>
      <c r="Q9" s="1" t="s">
        <v>57</v>
      </c>
      <c r="R9" s="1">
        <v>180</v>
      </c>
      <c r="S9" s="1"/>
      <c r="T9"/>
      <c r="U9"/>
      <c r="V9" s="1" t="s">
        <v>129</v>
      </c>
      <c r="W9" s="1" t="s">
        <v>130</v>
      </c>
      <c r="X9" s="1">
        <v>29310</v>
      </c>
    </row>
    <row r="10" spans="3:24">
      <c r="C10" s="204">
        <v>2015</v>
      </c>
      <c r="D10" s="272" t="s">
        <v>5</v>
      </c>
      <c r="E10" s="272" t="s">
        <v>67</v>
      </c>
      <c r="F10" s="108">
        <v>1000</v>
      </c>
      <c r="G10" s="273" t="s">
        <v>68</v>
      </c>
      <c r="J10" s="144"/>
      <c r="K10" s="144"/>
      <c r="L10" s="144" t="s">
        <v>103</v>
      </c>
      <c r="M10" s="144">
        <v>3000</v>
      </c>
      <c r="P10" s="1" t="s">
        <v>147</v>
      </c>
      <c r="Q10" s="1" t="s">
        <v>58</v>
      </c>
      <c r="R10" s="1">
        <v>3167</v>
      </c>
      <c r="S10" s="1" t="s">
        <v>59</v>
      </c>
      <c r="T10"/>
      <c r="U10"/>
      <c r="V10" s="1" t="s">
        <v>131</v>
      </c>
      <c r="W10" s="1" t="s">
        <v>132</v>
      </c>
      <c r="X10" s="1">
        <v>31143</v>
      </c>
    </row>
    <row r="11" spans="3:24">
      <c r="C11" s="204">
        <v>2015</v>
      </c>
      <c r="D11" s="272" t="s">
        <v>9</v>
      </c>
      <c r="E11" s="272" t="s">
        <v>236</v>
      </c>
      <c r="F11" s="108">
        <v>450</v>
      </c>
      <c r="G11" s="273"/>
      <c r="J11" s="144"/>
      <c r="K11" s="144"/>
      <c r="L11" s="144" t="s">
        <v>104</v>
      </c>
      <c r="M11" s="144">
        <v>1100</v>
      </c>
      <c r="P11" s="1" t="s">
        <v>87</v>
      </c>
      <c r="Q11" s="1" t="s">
        <v>60</v>
      </c>
      <c r="R11" s="1">
        <v>3875</v>
      </c>
      <c r="S11" s="1"/>
      <c r="T11"/>
      <c r="U11"/>
      <c r="V11" s="1" t="s">
        <v>134</v>
      </c>
      <c r="W11" s="1" t="s">
        <v>133</v>
      </c>
      <c r="X11" s="1">
        <v>191178</v>
      </c>
    </row>
    <row r="12" spans="3:24">
      <c r="C12" s="204">
        <v>2016</v>
      </c>
      <c r="D12" s="272" t="s">
        <v>0</v>
      </c>
      <c r="E12" s="272" t="s">
        <v>233</v>
      </c>
      <c r="F12" s="108">
        <v>5105</v>
      </c>
      <c r="G12" s="273"/>
      <c r="J12" s="144"/>
      <c r="K12" s="144"/>
      <c r="L12" s="144" t="s">
        <v>175</v>
      </c>
      <c r="M12" s="144">
        <v>500</v>
      </c>
      <c r="P12" s="1" t="s">
        <v>88</v>
      </c>
      <c r="Q12" s="1" t="s">
        <v>61</v>
      </c>
      <c r="R12" s="1">
        <v>7000</v>
      </c>
      <c r="S12" s="1"/>
      <c r="T12"/>
      <c r="U12"/>
      <c r="V12" s="1"/>
      <c r="W12" s="1" t="s">
        <v>187</v>
      </c>
      <c r="X12" s="1">
        <v>5404</v>
      </c>
    </row>
    <row r="13" spans="3:24">
      <c r="C13" s="204">
        <v>2016</v>
      </c>
      <c r="D13" s="272" t="s">
        <v>5</v>
      </c>
      <c r="E13" s="272" t="s">
        <v>233</v>
      </c>
      <c r="F13" s="108">
        <v>3400</v>
      </c>
      <c r="G13" s="273"/>
      <c r="J13" s="144"/>
      <c r="K13" s="144"/>
      <c r="L13" s="144" t="s">
        <v>105</v>
      </c>
      <c r="M13" s="144">
        <v>1000</v>
      </c>
      <c r="P13" s="1" t="s">
        <v>89</v>
      </c>
      <c r="Q13" s="1" t="s">
        <v>58</v>
      </c>
      <c r="R13" s="1">
        <v>2102</v>
      </c>
      <c r="S13" s="1"/>
      <c r="T13"/>
      <c r="U13"/>
      <c r="V13" s="1" t="s">
        <v>135</v>
      </c>
      <c r="W13" s="1" t="s">
        <v>133</v>
      </c>
      <c r="X13" s="1">
        <v>46284</v>
      </c>
    </row>
    <row r="14" spans="3:24">
      <c r="C14" s="204">
        <v>2017</v>
      </c>
      <c r="D14" s="272" t="s">
        <v>37</v>
      </c>
      <c r="E14" s="272" t="s">
        <v>65</v>
      </c>
      <c r="F14" s="108">
        <v>300</v>
      </c>
      <c r="G14" s="273"/>
      <c r="J14" s="144"/>
      <c r="K14" s="144"/>
      <c r="L14" s="144"/>
      <c r="M14" s="144"/>
      <c r="P14" s="1" t="s">
        <v>89</v>
      </c>
      <c r="Q14" s="1" t="s">
        <v>90</v>
      </c>
      <c r="R14" s="1">
        <v>97.89</v>
      </c>
      <c r="S14" s="1"/>
      <c r="T14"/>
      <c r="U14"/>
      <c r="V14" s="1"/>
      <c r="W14" s="1" t="s">
        <v>187</v>
      </c>
      <c r="X14" s="1">
        <v>15258</v>
      </c>
    </row>
    <row r="15" spans="3:24">
      <c r="C15" s="204">
        <v>2017</v>
      </c>
      <c r="D15" s="272" t="s">
        <v>37</v>
      </c>
      <c r="E15" s="272" t="s">
        <v>186</v>
      </c>
      <c r="F15" s="108">
        <v>1500</v>
      </c>
      <c r="G15" s="273"/>
      <c r="J15" s="149" t="s">
        <v>34</v>
      </c>
      <c r="K15" s="144">
        <v>5105</v>
      </c>
      <c r="L15" s="149" t="s">
        <v>34</v>
      </c>
      <c r="M15" s="144">
        <v>69000</v>
      </c>
      <c r="P15" s="1" t="s">
        <v>153</v>
      </c>
      <c r="Q15" s="1" t="s">
        <v>58</v>
      </c>
      <c r="R15" s="1">
        <v>3975</v>
      </c>
      <c r="S15" s="1"/>
      <c r="T15"/>
      <c r="U15"/>
      <c r="V15" s="1"/>
      <c r="W15" s="1" t="s">
        <v>274</v>
      </c>
      <c r="X15" s="1">
        <v>978.44</v>
      </c>
    </row>
    <row r="16" spans="3:24">
      <c r="C16" s="204">
        <v>2017</v>
      </c>
      <c r="D16" s="272" t="s">
        <v>4</v>
      </c>
      <c r="E16" s="272" t="s">
        <v>171</v>
      </c>
      <c r="F16" s="108">
        <v>1800</v>
      </c>
      <c r="G16" s="273"/>
      <c r="P16" s="1" t="s">
        <v>192</v>
      </c>
      <c r="Q16" s="1" t="s">
        <v>58</v>
      </c>
      <c r="R16" s="1">
        <v>580</v>
      </c>
      <c r="S16" s="1"/>
      <c r="T16"/>
      <c r="U16"/>
      <c r="V16" s="1"/>
      <c r="W16" s="1" t="s">
        <v>145</v>
      </c>
      <c r="X16" s="1">
        <v>585</v>
      </c>
    </row>
    <row r="17" spans="3:24">
      <c r="C17" s="204">
        <v>2017</v>
      </c>
      <c r="D17" s="272" t="s">
        <v>7</v>
      </c>
      <c r="E17" s="272" t="s">
        <v>172</v>
      </c>
      <c r="F17" s="108">
        <v>1500</v>
      </c>
      <c r="G17" s="273"/>
      <c r="P17" s="1" t="s">
        <v>241</v>
      </c>
      <c r="Q17" s="1" t="s">
        <v>58</v>
      </c>
      <c r="R17" s="1">
        <v>976</v>
      </c>
      <c r="S17" s="1"/>
      <c r="T17"/>
      <c r="U17"/>
      <c r="V17" s="1"/>
      <c r="W17" s="1" t="s">
        <v>146</v>
      </c>
      <c r="X17" s="1">
        <v>505</v>
      </c>
    </row>
    <row r="18" spans="3:24">
      <c r="C18" s="204">
        <v>2018</v>
      </c>
      <c r="D18" s="272" t="s">
        <v>36</v>
      </c>
      <c r="E18" s="272" t="s">
        <v>233</v>
      </c>
      <c r="F18" s="108">
        <v>4000</v>
      </c>
      <c r="G18" s="273"/>
      <c r="P18" s="1" t="s">
        <v>465</v>
      </c>
      <c r="Q18" s="1" t="s">
        <v>58</v>
      </c>
      <c r="R18" s="1">
        <v>13487</v>
      </c>
      <c r="S18" s="1" t="s">
        <v>320</v>
      </c>
      <c r="T18"/>
      <c r="U18"/>
      <c r="V18" s="84">
        <v>2017</v>
      </c>
      <c r="W18" s="1" t="s">
        <v>78</v>
      </c>
      <c r="X18" s="1">
        <v>2698</v>
      </c>
    </row>
    <row r="19" spans="3:24">
      <c r="C19" s="204">
        <v>2018</v>
      </c>
      <c r="D19" s="272" t="s">
        <v>37</v>
      </c>
      <c r="E19" s="272" t="s">
        <v>186</v>
      </c>
      <c r="F19" s="108">
        <v>5000</v>
      </c>
      <c r="G19" s="273"/>
      <c r="J19" s="147" t="s">
        <v>111</v>
      </c>
      <c r="K19" s="148" t="s">
        <v>109</v>
      </c>
      <c r="L19" s="144"/>
      <c r="M19" s="148" t="s">
        <v>110</v>
      </c>
      <c r="P19" s="1" t="s">
        <v>315</v>
      </c>
      <c r="Q19" s="1" t="s">
        <v>461</v>
      </c>
      <c r="R19" s="1">
        <v>2400</v>
      </c>
      <c r="S19" s="1"/>
      <c r="T19"/>
      <c r="U19"/>
      <c r="V19" s="1"/>
      <c r="W19" s="1" t="s">
        <v>274</v>
      </c>
      <c r="X19" s="1">
        <v>672.98</v>
      </c>
    </row>
    <row r="20" spans="3:24">
      <c r="C20" s="204">
        <v>2018</v>
      </c>
      <c r="D20" s="272" t="s">
        <v>5</v>
      </c>
      <c r="E20" s="272" t="s">
        <v>210</v>
      </c>
      <c r="F20" s="108">
        <v>600</v>
      </c>
      <c r="G20" s="273"/>
      <c r="J20" s="144" t="s">
        <v>93</v>
      </c>
      <c r="K20" s="144">
        <v>2140</v>
      </c>
      <c r="L20" s="144" t="s">
        <v>99</v>
      </c>
      <c r="M20" s="144">
        <v>1000</v>
      </c>
      <c r="P20" s="1" t="s">
        <v>361</v>
      </c>
      <c r="Q20" s="1" t="s">
        <v>461</v>
      </c>
      <c r="R20" s="1">
        <v>1200</v>
      </c>
      <c r="S20" s="1"/>
      <c r="T20"/>
      <c r="U20"/>
      <c r="V20" s="1"/>
      <c r="W20" s="1" t="s">
        <v>273</v>
      </c>
      <c r="X20" s="1">
        <v>2473</v>
      </c>
    </row>
    <row r="21" spans="3:24">
      <c r="C21" s="204">
        <v>2019</v>
      </c>
      <c r="D21" s="272" t="s">
        <v>0</v>
      </c>
      <c r="E21" s="272" t="s">
        <v>233</v>
      </c>
      <c r="F21" s="108">
        <v>4048</v>
      </c>
      <c r="G21" s="273"/>
      <c r="J21" s="144" t="s">
        <v>94</v>
      </c>
      <c r="K21" s="144">
        <v>110</v>
      </c>
      <c r="L21" s="144" t="s">
        <v>115</v>
      </c>
      <c r="M21" s="144">
        <v>3000</v>
      </c>
      <c r="P21" s="1" t="s">
        <v>381</v>
      </c>
      <c r="Q21" s="1" t="s">
        <v>461</v>
      </c>
      <c r="R21" s="1">
        <v>1400</v>
      </c>
      <c r="S21" s="1"/>
      <c r="T21"/>
      <c r="U21"/>
      <c r="V21" s="1"/>
      <c r="W21" s="1" t="s">
        <v>189</v>
      </c>
      <c r="X21" s="1">
        <v>11786.85</v>
      </c>
    </row>
    <row r="22" spans="3:24">
      <c r="C22" s="204">
        <v>2019</v>
      </c>
      <c r="D22" s="272" t="s">
        <v>9</v>
      </c>
      <c r="E22" s="272" t="s">
        <v>65</v>
      </c>
      <c r="F22" s="108">
        <v>820</v>
      </c>
      <c r="G22" s="273"/>
      <c r="J22" s="144" t="s">
        <v>332</v>
      </c>
      <c r="K22" s="144">
        <v>1100</v>
      </c>
      <c r="L22" s="144" t="s">
        <v>116</v>
      </c>
      <c r="M22" s="144">
        <v>8000</v>
      </c>
      <c r="P22" s="112" t="s">
        <v>382</v>
      </c>
      <c r="Q22" s="1" t="s">
        <v>383</v>
      </c>
      <c r="R22" s="1">
        <v>7774</v>
      </c>
      <c r="S22" s="1" t="s">
        <v>384</v>
      </c>
      <c r="T22"/>
      <c r="U22"/>
      <c r="V22" s="84">
        <v>2018</v>
      </c>
      <c r="W22" s="1" t="s">
        <v>209</v>
      </c>
      <c r="X22" s="1">
        <v>17364</v>
      </c>
    </row>
    <row r="23" spans="3:24">
      <c r="C23" s="204">
        <v>2020</v>
      </c>
      <c r="D23" s="272" t="s">
        <v>2</v>
      </c>
      <c r="E23" s="272" t="s">
        <v>327</v>
      </c>
      <c r="F23" s="108">
        <v>70</v>
      </c>
      <c r="G23" s="273"/>
      <c r="J23" s="144" t="s">
        <v>121</v>
      </c>
      <c r="K23" s="144">
        <v>50</v>
      </c>
      <c r="L23" s="144" t="s">
        <v>117</v>
      </c>
      <c r="M23" s="144">
        <v>24000</v>
      </c>
      <c r="P23" s="1" t="s">
        <v>437</v>
      </c>
      <c r="Q23" s="1" t="s">
        <v>383</v>
      </c>
      <c r="R23" s="1">
        <v>5719</v>
      </c>
      <c r="S23" s="1" t="s">
        <v>438</v>
      </c>
      <c r="T23"/>
      <c r="U23"/>
      <c r="V23" s="1"/>
      <c r="W23" s="1" t="s">
        <v>58</v>
      </c>
      <c r="X23" s="1">
        <v>3980</v>
      </c>
    </row>
    <row r="24" spans="3:24">
      <c r="C24" s="204">
        <v>2020</v>
      </c>
      <c r="D24" s="272" t="s">
        <v>5</v>
      </c>
      <c r="E24" s="272" t="s">
        <v>342</v>
      </c>
      <c r="F24" s="108">
        <v>40</v>
      </c>
      <c r="G24" s="273"/>
      <c r="J24" s="144"/>
      <c r="K24" s="144"/>
      <c r="L24" s="144" t="s">
        <v>118</v>
      </c>
      <c r="M24" s="144">
        <v>11000</v>
      </c>
      <c r="P24" s="168" t="s">
        <v>505</v>
      </c>
      <c r="Q24" s="168" t="s">
        <v>58</v>
      </c>
      <c r="R24" s="168">
        <v>2941</v>
      </c>
      <c r="S24" t="s">
        <v>506</v>
      </c>
      <c r="T24"/>
      <c r="U24"/>
      <c r="V24" s="84">
        <v>2019</v>
      </c>
      <c r="W24" s="1" t="s">
        <v>290</v>
      </c>
      <c r="X24" s="1">
        <v>5212</v>
      </c>
    </row>
    <row r="25" spans="3:24">
      <c r="C25" s="204">
        <v>2020</v>
      </c>
      <c r="D25" s="272" t="s">
        <v>8</v>
      </c>
      <c r="E25" s="272" t="s">
        <v>351</v>
      </c>
      <c r="F25" s="108">
        <v>80</v>
      </c>
      <c r="G25" s="273"/>
      <c r="J25" s="144"/>
      <c r="K25" s="144"/>
      <c r="L25" s="144" t="s">
        <v>119</v>
      </c>
      <c r="M25" s="144">
        <v>13000</v>
      </c>
      <c r="P25" s="168" t="s">
        <v>631</v>
      </c>
      <c r="Q25" s="168" t="s">
        <v>58</v>
      </c>
      <c r="R25" s="168">
        <v>474</v>
      </c>
      <c r="S25" t="s">
        <v>632</v>
      </c>
      <c r="T25"/>
      <c r="U25"/>
      <c r="V25" s="1"/>
      <c r="W25" s="1" t="s">
        <v>291</v>
      </c>
      <c r="X25" s="1">
        <v>15041</v>
      </c>
    </row>
    <row r="26" spans="3:24">
      <c r="C26" s="204">
        <v>2021</v>
      </c>
      <c r="D26" s="272" t="s">
        <v>7</v>
      </c>
      <c r="E26" s="272" t="s">
        <v>405</v>
      </c>
      <c r="F26" s="108">
        <v>150</v>
      </c>
      <c r="G26" s="273"/>
      <c r="J26" s="144"/>
      <c r="K26" s="144"/>
      <c r="L26" s="144" t="s">
        <v>120</v>
      </c>
      <c r="M26" s="144">
        <v>5000</v>
      </c>
      <c r="P26" s="168" t="s">
        <v>1768</v>
      </c>
      <c r="Q26" s="168" t="s">
        <v>58</v>
      </c>
      <c r="R26" s="168">
        <v>1700</v>
      </c>
      <c r="S26"/>
      <c r="T26"/>
      <c r="U26"/>
      <c r="V26" s="1"/>
      <c r="W26" s="1" t="s">
        <v>292</v>
      </c>
      <c r="X26" s="1">
        <v>1030.43</v>
      </c>
    </row>
    <row r="27" spans="3:24">
      <c r="C27" s="204">
        <v>2021</v>
      </c>
      <c r="D27" s="272" t="s">
        <v>9</v>
      </c>
      <c r="E27" s="272" t="s">
        <v>432</v>
      </c>
      <c r="F27" s="108">
        <v>200</v>
      </c>
      <c r="G27" s="273"/>
      <c r="J27" s="144"/>
      <c r="K27" s="144"/>
      <c r="L27" s="144" t="s">
        <v>105</v>
      </c>
      <c r="M27" s="144">
        <v>2000</v>
      </c>
      <c r="P27"/>
      <c r="Q27"/>
      <c r="R27"/>
      <c r="S27"/>
      <c r="T27"/>
      <c r="U27"/>
      <c r="V27" s="1"/>
      <c r="W27" s="1" t="s">
        <v>273</v>
      </c>
      <c r="X27" s="1">
        <v>1443</v>
      </c>
    </row>
    <row r="28" spans="3:24">
      <c r="C28" s="204">
        <v>2022</v>
      </c>
      <c r="D28" s="272" t="s">
        <v>7</v>
      </c>
      <c r="E28" s="272" t="s">
        <v>233</v>
      </c>
      <c r="F28" s="108">
        <v>6200</v>
      </c>
      <c r="G28" s="273"/>
      <c r="J28" s="144"/>
      <c r="K28" s="144"/>
      <c r="L28" s="144" t="s">
        <v>122</v>
      </c>
      <c r="M28" s="144">
        <v>5000</v>
      </c>
      <c r="P28"/>
      <c r="Q28"/>
      <c r="R28"/>
      <c r="S28"/>
      <c r="T28"/>
      <c r="U28"/>
      <c r="V28" s="1"/>
      <c r="W28" s="1" t="s">
        <v>293</v>
      </c>
      <c r="X28" s="1">
        <v>4720</v>
      </c>
    </row>
    <row r="29" spans="3:24">
      <c r="C29" s="204">
        <v>2023</v>
      </c>
      <c r="D29" s="272" t="s">
        <v>5</v>
      </c>
      <c r="E29" s="272" t="s">
        <v>233</v>
      </c>
      <c r="F29" s="108">
        <v>4300</v>
      </c>
      <c r="G29" s="273"/>
      <c r="J29" s="149" t="s">
        <v>34</v>
      </c>
      <c r="K29" s="144">
        <v>3400</v>
      </c>
      <c r="L29" s="149" t="s">
        <v>34</v>
      </c>
      <c r="M29" s="144">
        <v>72000</v>
      </c>
      <c r="P29"/>
      <c r="Q29"/>
      <c r="R29"/>
      <c r="S29"/>
      <c r="T29"/>
      <c r="U29"/>
      <c r="V29" s="84">
        <v>2020</v>
      </c>
      <c r="W29" s="1" t="s">
        <v>291</v>
      </c>
      <c r="X29" s="1">
        <v>9544</v>
      </c>
    </row>
    <row r="30" spans="3:24">
      <c r="C30" s="204">
        <v>2024</v>
      </c>
      <c r="D30" s="145" t="s">
        <v>36</v>
      </c>
      <c r="E30" s="145" t="s">
        <v>713</v>
      </c>
      <c r="F30" s="108">
        <v>2000</v>
      </c>
      <c r="G30" s="109"/>
      <c r="P30"/>
      <c r="Q30"/>
      <c r="R30"/>
      <c r="S30"/>
      <c r="T30"/>
      <c r="U30"/>
      <c r="V30" s="1"/>
      <c r="W30" s="1" t="s">
        <v>290</v>
      </c>
      <c r="X30" s="1">
        <v>10754</v>
      </c>
    </row>
    <row r="31" spans="3:24">
      <c r="C31" s="204">
        <v>2024</v>
      </c>
      <c r="D31" s="145" t="s">
        <v>1773</v>
      </c>
      <c r="E31" s="145" t="s">
        <v>1774</v>
      </c>
      <c r="F31" s="108">
        <v>9000</v>
      </c>
      <c r="G31" s="109" t="s">
        <v>1775</v>
      </c>
      <c r="P31"/>
      <c r="Q31"/>
      <c r="R31"/>
      <c r="S31"/>
      <c r="T31"/>
      <c r="U31"/>
      <c r="V31" s="1"/>
      <c r="W31" s="1" t="s">
        <v>273</v>
      </c>
      <c r="X31" s="1">
        <v>906</v>
      </c>
    </row>
    <row r="32" spans="3:24">
      <c r="C32" s="204">
        <v>2024</v>
      </c>
      <c r="D32" s="145" t="s">
        <v>1773</v>
      </c>
      <c r="E32" s="145" t="s">
        <v>1776</v>
      </c>
      <c r="F32" s="108">
        <v>4000</v>
      </c>
      <c r="G32" s="109" t="s">
        <v>1777</v>
      </c>
      <c r="J32" s="147" t="s">
        <v>176</v>
      </c>
      <c r="K32" s="148" t="s">
        <v>109</v>
      </c>
      <c r="L32" s="144"/>
      <c r="M32" s="148" t="s">
        <v>110</v>
      </c>
      <c r="P32"/>
      <c r="Q32"/>
      <c r="R32"/>
      <c r="S32"/>
      <c r="T32"/>
      <c r="U32"/>
      <c r="V32" s="1"/>
      <c r="W32" s="1" t="s">
        <v>292</v>
      </c>
      <c r="X32" s="1">
        <v>532.39</v>
      </c>
    </row>
    <row r="33" spans="3:24">
      <c r="C33" s="438">
        <v>2025</v>
      </c>
      <c r="D33" s="164" t="s">
        <v>4</v>
      </c>
      <c r="E33" s="164" t="s">
        <v>1878</v>
      </c>
      <c r="F33" s="164">
        <v>700</v>
      </c>
      <c r="G33" s="151"/>
      <c r="J33" s="144" t="s">
        <v>93</v>
      </c>
      <c r="K33" s="144">
        <v>2100</v>
      </c>
      <c r="L33" s="145" t="s">
        <v>177</v>
      </c>
      <c r="M33" s="145">
        <v>25000</v>
      </c>
      <c r="P33"/>
      <c r="Q33"/>
      <c r="R33"/>
      <c r="S33"/>
      <c r="T33"/>
      <c r="U33"/>
      <c r="V33" s="1"/>
      <c r="W33" s="1" t="s">
        <v>293</v>
      </c>
      <c r="X33" s="1">
        <v>5710</v>
      </c>
    </row>
    <row r="34" spans="3:24">
      <c r="J34" s="144" t="s">
        <v>184</v>
      </c>
      <c r="K34" s="144">
        <v>600</v>
      </c>
      <c r="L34" s="145" t="s">
        <v>178</v>
      </c>
      <c r="M34" s="145">
        <v>7000</v>
      </c>
      <c r="P34"/>
      <c r="Q34"/>
      <c r="R34"/>
      <c r="S34"/>
      <c r="T34"/>
      <c r="U34"/>
      <c r="V34" s="84">
        <v>2021</v>
      </c>
      <c r="W34" s="1" t="s">
        <v>291</v>
      </c>
      <c r="X34" s="1">
        <v>5681</v>
      </c>
    </row>
    <row r="35" spans="3:24">
      <c r="J35" s="144" t="s">
        <v>332</v>
      </c>
      <c r="K35" s="144">
        <v>1100</v>
      </c>
      <c r="L35" s="145" t="s">
        <v>102</v>
      </c>
      <c r="M35" s="145">
        <v>3100</v>
      </c>
      <c r="P35"/>
      <c r="Q35"/>
      <c r="R35"/>
      <c r="S35"/>
      <c r="T35"/>
      <c r="U35"/>
      <c r="V35" s="1"/>
      <c r="W35" s="1" t="s">
        <v>290</v>
      </c>
      <c r="X35" s="1">
        <v>7422</v>
      </c>
    </row>
    <row r="36" spans="3:24">
      <c r="J36" s="144" t="s">
        <v>121</v>
      </c>
      <c r="K36" s="144">
        <v>15</v>
      </c>
      <c r="L36" s="145" t="s">
        <v>179</v>
      </c>
      <c r="M36" s="145">
        <v>1500</v>
      </c>
      <c r="P36"/>
      <c r="Q36"/>
      <c r="R36"/>
      <c r="S36"/>
      <c r="T36"/>
      <c r="U36"/>
      <c r="V36" s="1"/>
      <c r="W36" s="1" t="s">
        <v>273</v>
      </c>
      <c r="X36" s="1">
        <v>576</v>
      </c>
    </row>
    <row r="37" spans="3:24">
      <c r="J37" s="144" t="s">
        <v>105</v>
      </c>
      <c r="K37" s="144">
        <v>185</v>
      </c>
      <c r="L37" s="145" t="s">
        <v>180</v>
      </c>
      <c r="M37" s="145">
        <v>6500</v>
      </c>
      <c r="P37"/>
      <c r="Q37"/>
      <c r="R37"/>
      <c r="S37"/>
      <c r="T37"/>
      <c r="U37"/>
      <c r="V37" s="1"/>
      <c r="W37" s="1" t="s">
        <v>492</v>
      </c>
      <c r="X37" s="1">
        <v>122</v>
      </c>
    </row>
    <row r="38" spans="3:24">
      <c r="J38" s="144"/>
      <c r="K38" s="144"/>
      <c r="L38" s="145" t="s">
        <v>181</v>
      </c>
      <c r="M38" s="145">
        <v>14000</v>
      </c>
      <c r="P38"/>
      <c r="Q38"/>
      <c r="R38"/>
      <c r="S38"/>
      <c r="T38"/>
      <c r="U38"/>
      <c r="V38" s="84">
        <v>2022</v>
      </c>
      <c r="W38" s="1" t="s">
        <v>462</v>
      </c>
      <c r="X38" s="1">
        <v>3680</v>
      </c>
    </row>
    <row r="39" spans="3:24">
      <c r="J39" s="144"/>
      <c r="K39" s="144"/>
      <c r="L39" s="145" t="s">
        <v>182</v>
      </c>
      <c r="M39" s="145">
        <v>9600</v>
      </c>
      <c r="P39"/>
      <c r="Q39"/>
      <c r="R39"/>
      <c r="S39"/>
      <c r="T39"/>
      <c r="U39"/>
      <c r="V39" s="266"/>
      <c r="W39" s="1" t="s">
        <v>291</v>
      </c>
      <c r="X39" s="168">
        <v>2804</v>
      </c>
    </row>
    <row r="40" spans="3:24">
      <c r="J40" s="144"/>
      <c r="K40" s="144"/>
      <c r="L40" s="145" t="s">
        <v>183</v>
      </c>
      <c r="M40" s="145">
        <v>1000</v>
      </c>
      <c r="P40"/>
      <c r="Q40"/>
      <c r="R40"/>
      <c r="S40"/>
      <c r="T40"/>
      <c r="U40"/>
      <c r="V40" s="168"/>
      <c r="W40" s="1" t="s">
        <v>290</v>
      </c>
      <c r="X40" s="168">
        <v>12564</v>
      </c>
    </row>
    <row r="41" spans="3:24">
      <c r="J41" s="144"/>
      <c r="K41" s="144"/>
      <c r="L41" s="145" t="s">
        <v>185</v>
      </c>
      <c r="M41" s="145">
        <v>1500</v>
      </c>
      <c r="P41"/>
      <c r="Q41"/>
      <c r="R41"/>
      <c r="S41"/>
      <c r="T41"/>
      <c r="U41"/>
      <c r="V41" s="267">
        <v>2023</v>
      </c>
      <c r="W41" s="1" t="s">
        <v>291</v>
      </c>
      <c r="X41" s="168">
        <v>2531</v>
      </c>
    </row>
    <row r="42" spans="3:24">
      <c r="J42" s="144"/>
      <c r="K42" s="144"/>
      <c r="L42" s="145" t="s">
        <v>105</v>
      </c>
      <c r="M42" s="145">
        <v>800</v>
      </c>
      <c r="P42"/>
      <c r="Q42"/>
      <c r="R42"/>
      <c r="S42"/>
      <c r="T42"/>
      <c r="U42"/>
      <c r="V42" s="168"/>
      <c r="W42" s="1" t="s">
        <v>290</v>
      </c>
      <c r="X42" s="168">
        <v>29028</v>
      </c>
    </row>
    <row r="43" spans="3:24">
      <c r="J43" s="149" t="s">
        <v>34</v>
      </c>
      <c r="K43" s="144">
        <v>4000</v>
      </c>
      <c r="L43" s="152" t="s">
        <v>34</v>
      </c>
      <c r="M43" s="144">
        <v>70000</v>
      </c>
    </row>
    <row r="46" spans="3:24">
      <c r="J46" s="153" t="s">
        <v>1780</v>
      </c>
      <c r="K46" s="154" t="s">
        <v>109</v>
      </c>
      <c r="L46" s="143" t="s">
        <v>228</v>
      </c>
      <c r="M46" s="155" t="s">
        <v>110</v>
      </c>
    </row>
    <row r="47" spans="3:24">
      <c r="J47" s="146" t="s">
        <v>219</v>
      </c>
      <c r="K47" s="145">
        <v>1198</v>
      </c>
      <c r="L47" s="156" t="s">
        <v>220</v>
      </c>
      <c r="M47" s="157">
        <v>14000</v>
      </c>
      <c r="N47" s="158"/>
    </row>
    <row r="48" spans="3:24">
      <c r="J48" s="146" t="s">
        <v>218</v>
      </c>
      <c r="K48" s="145">
        <v>1500</v>
      </c>
      <c r="L48" s="145" t="s">
        <v>226</v>
      </c>
      <c r="M48" s="109">
        <v>430</v>
      </c>
    </row>
    <row r="49" spans="10:13">
      <c r="J49" s="146" t="s">
        <v>332</v>
      </c>
      <c r="K49" s="145">
        <v>1350</v>
      </c>
      <c r="L49" s="145" t="s">
        <v>227</v>
      </c>
      <c r="M49" s="109">
        <v>1700</v>
      </c>
    </row>
    <row r="50" spans="10:13">
      <c r="J50" s="146"/>
      <c r="L50" s="145" t="s">
        <v>331</v>
      </c>
      <c r="M50" s="109">
        <v>1000</v>
      </c>
    </row>
    <row r="51" spans="10:13">
      <c r="J51" s="146"/>
      <c r="L51" s="145" t="s">
        <v>230</v>
      </c>
      <c r="M51" s="109">
        <v>2500</v>
      </c>
    </row>
    <row r="52" spans="10:13">
      <c r="J52" s="146"/>
      <c r="L52" s="145" t="s">
        <v>179</v>
      </c>
      <c r="M52" s="109">
        <v>5000</v>
      </c>
    </row>
    <row r="53" spans="10:13">
      <c r="J53" s="146"/>
      <c r="L53" s="145" t="s">
        <v>183</v>
      </c>
      <c r="M53" s="109">
        <v>2000</v>
      </c>
    </row>
    <row r="54" spans="10:13">
      <c r="J54" s="146"/>
      <c r="L54" s="145" t="s">
        <v>128</v>
      </c>
      <c r="M54" s="109">
        <v>2000</v>
      </c>
    </row>
    <row r="55" spans="10:13">
      <c r="J55" s="146"/>
      <c r="L55" s="145" t="s">
        <v>225</v>
      </c>
      <c r="M55" s="109">
        <v>3000</v>
      </c>
    </row>
    <row r="56" spans="10:13">
      <c r="J56" s="146"/>
      <c r="L56" s="145" t="s">
        <v>99</v>
      </c>
      <c r="M56" s="109">
        <v>7000</v>
      </c>
    </row>
    <row r="57" spans="10:13">
      <c r="J57" s="159"/>
      <c r="L57" s="145" t="s">
        <v>231</v>
      </c>
      <c r="M57" s="109">
        <v>5000</v>
      </c>
    </row>
    <row r="58" spans="10:13">
      <c r="J58" s="146"/>
      <c r="L58" s="145" t="s">
        <v>229</v>
      </c>
      <c r="M58" s="109">
        <v>35000</v>
      </c>
    </row>
    <row r="59" spans="10:13">
      <c r="J59" s="146"/>
      <c r="L59" s="145" t="s">
        <v>333</v>
      </c>
      <c r="M59" s="109">
        <v>-13000</v>
      </c>
    </row>
    <row r="60" spans="10:13">
      <c r="J60" s="146"/>
      <c r="L60" s="145" t="s">
        <v>232</v>
      </c>
      <c r="M60" s="109">
        <v>28120</v>
      </c>
    </row>
    <row r="61" spans="10:13">
      <c r="J61" s="160" t="s">
        <v>34</v>
      </c>
      <c r="K61" s="161">
        <v>4048</v>
      </c>
      <c r="L61" s="161" t="s">
        <v>34</v>
      </c>
      <c r="M61" s="162">
        <v>93750</v>
      </c>
    </row>
    <row r="65" spans="10:13">
      <c r="J65" s="153" t="s">
        <v>472</v>
      </c>
      <c r="K65" s="154" t="s">
        <v>109</v>
      </c>
      <c r="L65" s="163" t="s">
        <v>228</v>
      </c>
      <c r="M65" s="155" t="s">
        <v>110</v>
      </c>
    </row>
    <row r="66" spans="10:13">
      <c r="J66" s="146" t="s">
        <v>219</v>
      </c>
      <c r="K66" s="145">
        <v>1654</v>
      </c>
      <c r="L66" s="156" t="s">
        <v>473</v>
      </c>
      <c r="M66" s="157">
        <v>5500</v>
      </c>
    </row>
    <row r="67" spans="10:13">
      <c r="J67" s="146" t="s">
        <v>487</v>
      </c>
      <c r="K67" s="145">
        <v>1061</v>
      </c>
      <c r="L67" s="145" t="s">
        <v>225</v>
      </c>
      <c r="M67" s="109">
        <v>7000</v>
      </c>
    </row>
    <row r="68" spans="10:13">
      <c r="J68" s="146" t="s">
        <v>490</v>
      </c>
      <c r="K68" s="145">
        <v>3485</v>
      </c>
      <c r="L68" s="145" t="s">
        <v>474</v>
      </c>
      <c r="M68" s="109">
        <v>3000</v>
      </c>
    </row>
    <row r="69" spans="10:13">
      <c r="J69" s="146"/>
      <c r="L69" s="145" t="s">
        <v>475</v>
      </c>
      <c r="M69" s="109">
        <v>8000</v>
      </c>
    </row>
    <row r="70" spans="10:13">
      <c r="J70" s="146"/>
      <c r="L70" s="145" t="s">
        <v>476</v>
      </c>
      <c r="M70" s="109">
        <v>2000</v>
      </c>
    </row>
    <row r="71" spans="10:13">
      <c r="J71" s="146"/>
      <c r="L71" s="145" t="s">
        <v>477</v>
      </c>
      <c r="M71" s="109">
        <v>14000</v>
      </c>
    </row>
    <row r="72" spans="10:13">
      <c r="J72" s="146"/>
      <c r="L72" s="145" t="s">
        <v>478</v>
      </c>
      <c r="M72" s="109">
        <v>50000</v>
      </c>
    </row>
    <row r="73" spans="10:13">
      <c r="J73" s="146"/>
      <c r="L73" s="145" t="s">
        <v>479</v>
      </c>
      <c r="M73" s="109">
        <v>11000</v>
      </c>
    </row>
    <row r="74" spans="10:13">
      <c r="J74" s="146"/>
      <c r="L74" s="145" t="s">
        <v>480</v>
      </c>
      <c r="M74" s="109">
        <v>4000</v>
      </c>
    </row>
    <row r="75" spans="10:13">
      <c r="J75" s="146"/>
      <c r="L75" s="145" t="s">
        <v>481</v>
      </c>
      <c r="M75" s="109">
        <v>4000</v>
      </c>
    </row>
    <row r="76" spans="10:13">
      <c r="J76" s="159"/>
      <c r="L76" s="145" t="s">
        <v>482</v>
      </c>
      <c r="M76" s="109">
        <v>1000</v>
      </c>
    </row>
    <row r="77" spans="10:13">
      <c r="J77" s="146"/>
      <c r="L77" s="145" t="s">
        <v>483</v>
      </c>
      <c r="M77" s="109">
        <v>9000</v>
      </c>
    </row>
    <row r="78" spans="10:13">
      <c r="J78" s="146"/>
      <c r="L78" s="145" t="s">
        <v>484</v>
      </c>
      <c r="M78" s="109">
        <v>11000</v>
      </c>
    </row>
    <row r="79" spans="10:13">
      <c r="J79" s="146"/>
      <c r="L79" s="145" t="s">
        <v>498</v>
      </c>
      <c r="M79" s="109">
        <v>10000</v>
      </c>
    </row>
    <row r="80" spans="10:13">
      <c r="J80" s="159"/>
      <c r="K80" s="158"/>
      <c r="L80" s="145" t="s">
        <v>486</v>
      </c>
      <c r="M80" s="109">
        <v>6000</v>
      </c>
    </row>
    <row r="81" spans="10:15">
      <c r="J81" s="146"/>
      <c r="L81" s="145" t="s">
        <v>105</v>
      </c>
      <c r="M81" s="109">
        <v>5000</v>
      </c>
    </row>
    <row r="82" spans="10:15">
      <c r="J82" s="146"/>
      <c r="L82" s="145" t="s">
        <v>491</v>
      </c>
      <c r="M82" s="109">
        <v>-15000</v>
      </c>
    </row>
    <row r="83" spans="10:15">
      <c r="J83" s="146"/>
    </row>
    <row r="84" spans="10:15">
      <c r="J84" s="146"/>
      <c r="L84" s="145" t="s">
        <v>485</v>
      </c>
      <c r="M84" s="109">
        <v>140000</v>
      </c>
    </row>
    <row r="85" spans="10:15">
      <c r="J85" s="146"/>
      <c r="M85" s="109"/>
    </row>
    <row r="86" spans="10:15">
      <c r="J86" s="146"/>
      <c r="M86" s="109"/>
    </row>
    <row r="87" spans="10:15">
      <c r="J87" s="150" t="s">
        <v>489</v>
      </c>
      <c r="K87" s="161">
        <v>6200</v>
      </c>
      <c r="L87" s="164" t="s">
        <v>488</v>
      </c>
      <c r="M87" s="162">
        <v>270000</v>
      </c>
    </row>
    <row r="90" spans="10:15">
      <c r="J90" s="153" t="s">
        <v>579</v>
      </c>
      <c r="K90" s="154" t="s">
        <v>109</v>
      </c>
      <c r="L90" s="163" t="s">
        <v>228</v>
      </c>
      <c r="M90" s="155" t="s">
        <v>110</v>
      </c>
    </row>
    <row r="91" spans="10:15">
      <c r="J91" s="146" t="s">
        <v>219</v>
      </c>
      <c r="K91" s="145">
        <v>1841</v>
      </c>
      <c r="L91" s="156" t="s">
        <v>580</v>
      </c>
      <c r="M91" s="157">
        <v>11000</v>
      </c>
    </row>
    <row r="92" spans="10:15">
      <c r="J92" s="146" t="s">
        <v>487</v>
      </c>
      <c r="K92" s="145">
        <v>1330</v>
      </c>
      <c r="L92" s="145" t="s">
        <v>99</v>
      </c>
      <c r="M92" s="109">
        <v>36000</v>
      </c>
    </row>
    <row r="93" spans="10:15">
      <c r="J93" s="146" t="s">
        <v>490</v>
      </c>
      <c r="K93" s="145">
        <v>1050</v>
      </c>
      <c r="L93" s="145" t="s">
        <v>581</v>
      </c>
      <c r="M93" s="145">
        <v>7000</v>
      </c>
      <c r="O93" s="109"/>
    </row>
    <row r="94" spans="10:15">
      <c r="J94" s="146" t="s">
        <v>586</v>
      </c>
      <c r="K94" s="145">
        <v>80</v>
      </c>
      <c r="L94" s="145" t="s">
        <v>582</v>
      </c>
      <c r="M94" s="109">
        <v>5000</v>
      </c>
    </row>
    <row r="95" spans="10:15">
      <c r="J95" s="146"/>
      <c r="L95" s="145" t="s">
        <v>583</v>
      </c>
      <c r="M95" s="109">
        <v>1200</v>
      </c>
    </row>
    <row r="96" spans="10:15">
      <c r="J96" s="146"/>
      <c r="L96" s="145" t="s">
        <v>231</v>
      </c>
      <c r="M96" s="109">
        <v>7000</v>
      </c>
    </row>
    <row r="97" spans="10:13">
      <c r="J97" s="146"/>
      <c r="L97" s="145" t="s">
        <v>584</v>
      </c>
      <c r="M97" s="109">
        <v>8000</v>
      </c>
    </row>
    <row r="98" spans="10:13">
      <c r="J98" s="146"/>
      <c r="L98" s="145" t="s">
        <v>464</v>
      </c>
      <c r="M98" s="109">
        <v>9000</v>
      </c>
    </row>
    <row r="99" spans="10:13">
      <c r="J99" s="146"/>
      <c r="L99" s="145" t="s">
        <v>585</v>
      </c>
      <c r="M99" s="109">
        <v>-3000</v>
      </c>
    </row>
    <row r="100" spans="10:13">
      <c r="J100" s="146"/>
      <c r="M100" s="109"/>
    </row>
    <row r="101" spans="10:13">
      <c r="J101" s="150" t="s">
        <v>489</v>
      </c>
      <c r="K101" s="161">
        <v>4300</v>
      </c>
      <c r="L101" s="164" t="s">
        <v>488</v>
      </c>
      <c r="M101" s="162">
        <v>81200</v>
      </c>
    </row>
    <row r="102" spans="10:13">
      <c r="J102" s="146"/>
      <c r="M102" s="109"/>
    </row>
    <row r="103" spans="10:13" ht="20" thickBot="1">
      <c r="J103" s="146"/>
      <c r="M103" s="109"/>
    </row>
    <row r="104" spans="10:13">
      <c r="J104" s="381" t="s">
        <v>1781</v>
      </c>
      <c r="K104" s="382" t="s">
        <v>109</v>
      </c>
      <c r="L104" s="383" t="s">
        <v>228</v>
      </c>
      <c r="M104" s="384" t="s">
        <v>110</v>
      </c>
    </row>
    <row r="105" spans="10:13">
      <c r="J105" s="385" t="s">
        <v>219</v>
      </c>
      <c r="K105" s="145">
        <v>2000</v>
      </c>
      <c r="L105" s="156"/>
      <c r="M105" s="386"/>
    </row>
    <row r="106" spans="10:13">
      <c r="J106" s="385" t="s">
        <v>487</v>
      </c>
      <c r="K106" s="145">
        <v>2000</v>
      </c>
      <c r="M106" s="387"/>
    </row>
    <row r="107" spans="10:13">
      <c r="J107" s="385" t="s">
        <v>490</v>
      </c>
      <c r="K107" s="145">
        <v>4000</v>
      </c>
      <c r="M107" s="387">
        <v>300000</v>
      </c>
    </row>
    <row r="108" spans="10:13">
      <c r="J108" s="385" t="s">
        <v>1778</v>
      </c>
      <c r="K108" s="145">
        <v>5000</v>
      </c>
      <c r="M108" s="387">
        <v>400000</v>
      </c>
    </row>
    <row r="109" spans="10:13">
      <c r="J109" s="385" t="s">
        <v>713</v>
      </c>
      <c r="K109" s="145">
        <v>2000</v>
      </c>
      <c r="M109" s="387"/>
    </row>
    <row r="110" spans="10:13" ht="20" thickBot="1">
      <c r="J110" s="388" t="s">
        <v>489</v>
      </c>
      <c r="K110" s="389">
        <v>15000</v>
      </c>
      <c r="L110" s="390" t="s">
        <v>488</v>
      </c>
      <c r="M110" s="391" t="s">
        <v>1779</v>
      </c>
    </row>
  </sheetData>
  <pageMargins left="0.7" right="0.7" top="0.75" bottom="0.75" header="0.51180555555555496" footer="0.51180555555555496"/>
  <pageSetup firstPageNumber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08355-5CCE-9D41-91BA-A744813610BB}">
  <sheetPr filterMode="1"/>
  <dimension ref="B3:AG61"/>
  <sheetViews>
    <sheetView topLeftCell="A4" workbookViewId="0">
      <selection activeCell="J44" sqref="J44"/>
    </sheetView>
  </sheetViews>
  <sheetFormatPr baseColWidth="10" defaultRowHeight="15"/>
  <cols>
    <col min="3" max="3" width="16.33203125" bestFit="1" customWidth="1"/>
    <col min="4" max="7" width="16.33203125" customWidth="1"/>
    <col min="14" max="14" width="22.5" bestFit="1" customWidth="1"/>
    <col min="15" max="15" width="16.5" customWidth="1"/>
    <col min="17" max="17" width="26" bestFit="1" customWidth="1"/>
    <col min="20" max="20" width="14.1640625" customWidth="1"/>
    <col min="21" max="21" width="23.83203125" customWidth="1"/>
    <col min="22" max="23" width="17.1640625" customWidth="1"/>
    <col min="25" max="25" width="20.33203125" customWidth="1"/>
    <col min="32" max="32" width="14.33203125" customWidth="1"/>
    <col min="33" max="33" width="12.6640625" customWidth="1"/>
  </cols>
  <sheetData>
    <row r="3" spans="3:33" ht="19">
      <c r="Y3" s="145" t="s">
        <v>521</v>
      </c>
      <c r="Z3" s="145"/>
      <c r="AA3" s="145"/>
      <c r="AB3" s="145"/>
      <c r="AC3" s="145"/>
      <c r="AD3" s="145"/>
      <c r="AE3" s="145"/>
      <c r="AF3" s="145"/>
      <c r="AG3" s="145"/>
    </row>
    <row r="4" spans="3:33" ht="19">
      <c r="C4" s="71" t="s">
        <v>380</v>
      </c>
      <c r="D4" s="72">
        <v>2025</v>
      </c>
      <c r="E4" s="72">
        <v>2024</v>
      </c>
      <c r="F4" s="72">
        <v>2023</v>
      </c>
      <c r="G4" s="72">
        <v>2022</v>
      </c>
      <c r="H4" s="72">
        <v>2021</v>
      </c>
      <c r="I4" s="72">
        <v>2020</v>
      </c>
      <c r="J4" s="72">
        <v>2019</v>
      </c>
      <c r="K4" s="73">
        <v>2018</v>
      </c>
      <c r="N4" s="120" t="s">
        <v>509</v>
      </c>
      <c r="S4" s="62" t="s">
        <v>266</v>
      </c>
      <c r="T4" s="203" t="s">
        <v>470</v>
      </c>
      <c r="U4" s="48"/>
      <c r="V4" s="49"/>
      <c r="Y4" s="170" t="s">
        <v>266</v>
      </c>
      <c r="Z4" s="154" t="s">
        <v>141</v>
      </c>
      <c r="AA4" s="154" t="s">
        <v>46</v>
      </c>
      <c r="AB4" s="154" t="s">
        <v>235</v>
      </c>
      <c r="AC4" s="154" t="s">
        <v>143</v>
      </c>
      <c r="AD4" s="154" t="s">
        <v>97</v>
      </c>
      <c r="AE4" s="154" t="s">
        <v>28</v>
      </c>
      <c r="AF4" s="154" t="s">
        <v>522</v>
      </c>
      <c r="AG4" s="155" t="s">
        <v>523</v>
      </c>
    </row>
    <row r="5" spans="3:33" ht="19">
      <c r="C5" s="50" t="s">
        <v>269</v>
      </c>
      <c r="D5">
        <v>800</v>
      </c>
      <c r="E5">
        <v>800</v>
      </c>
      <c r="F5">
        <v>800</v>
      </c>
      <c r="G5">
        <v>1000</v>
      </c>
      <c r="H5" s="6">
        <v>1000</v>
      </c>
      <c r="I5" s="6">
        <v>1000</v>
      </c>
      <c r="J5" s="6">
        <v>1000</v>
      </c>
      <c r="K5" s="63">
        <v>1000</v>
      </c>
      <c r="L5" s="6"/>
      <c r="N5" s="122" t="s">
        <v>456</v>
      </c>
      <c r="O5" s="116" t="s">
        <v>378</v>
      </c>
      <c r="P5" s="123">
        <v>5309</v>
      </c>
      <c r="Q5" s="117" t="s">
        <v>430</v>
      </c>
      <c r="S5" s="50">
        <v>2021</v>
      </c>
      <c r="T5" s="101" t="s">
        <v>5</v>
      </c>
      <c r="U5" t="s">
        <v>448</v>
      </c>
      <c r="V5" s="51">
        <v>359</v>
      </c>
      <c r="Y5" s="204">
        <v>2018</v>
      </c>
      <c r="Z5" s="145">
        <v>133</v>
      </c>
      <c r="AA5" s="145">
        <v>1</v>
      </c>
      <c r="AB5" s="145">
        <v>0</v>
      </c>
      <c r="AC5" s="145"/>
      <c r="AD5" s="145"/>
      <c r="AE5" s="145">
        <v>0</v>
      </c>
      <c r="AF5" s="145"/>
      <c r="AG5" s="109"/>
    </row>
    <row r="6" spans="3:33" ht="19">
      <c r="C6" s="50" t="s">
        <v>270</v>
      </c>
      <c r="F6">
        <v>6950</v>
      </c>
      <c r="H6">
        <v>6200</v>
      </c>
      <c r="I6" s="6">
        <v>5900</v>
      </c>
      <c r="J6" s="6">
        <v>1100</v>
      </c>
      <c r="K6" s="63">
        <v>999</v>
      </c>
      <c r="L6" s="6"/>
      <c r="N6" s="118" t="s">
        <v>453</v>
      </c>
      <c r="O6" t="s">
        <v>335</v>
      </c>
      <c r="P6" s="94">
        <v>500</v>
      </c>
      <c r="Q6" s="117" t="s">
        <v>430</v>
      </c>
      <c r="S6" s="50">
        <v>2021</v>
      </c>
      <c r="T6" s="101" t="s">
        <v>5</v>
      </c>
      <c r="U6" t="s">
        <v>448</v>
      </c>
      <c r="V6" s="51">
        <v>359</v>
      </c>
      <c r="Y6" s="204">
        <v>2019</v>
      </c>
      <c r="Z6" s="145">
        <v>2802</v>
      </c>
      <c r="AA6" s="145">
        <v>0</v>
      </c>
      <c r="AB6" s="145">
        <v>980</v>
      </c>
      <c r="AC6" s="145"/>
      <c r="AD6" s="145"/>
      <c r="AE6" s="145">
        <v>0</v>
      </c>
      <c r="AF6" s="145"/>
      <c r="AG6" s="109"/>
    </row>
    <row r="7" spans="3:33" ht="19">
      <c r="C7" s="50" t="s">
        <v>271</v>
      </c>
      <c r="D7">
        <v>150</v>
      </c>
      <c r="F7">
        <v>100</v>
      </c>
      <c r="G7">
        <v>100</v>
      </c>
      <c r="H7">
        <v>100</v>
      </c>
      <c r="I7" s="6">
        <v>0</v>
      </c>
      <c r="J7" s="6">
        <v>100</v>
      </c>
      <c r="K7" s="63">
        <v>0</v>
      </c>
      <c r="L7" s="6"/>
      <c r="N7" s="118" t="s">
        <v>453</v>
      </c>
      <c r="O7" t="s">
        <v>335</v>
      </c>
      <c r="P7" s="94">
        <v>1000</v>
      </c>
      <c r="Q7" s="117" t="s">
        <v>430</v>
      </c>
      <c r="S7" s="50">
        <v>2021</v>
      </c>
      <c r="T7" s="101" t="s">
        <v>5</v>
      </c>
      <c r="U7" t="s">
        <v>448</v>
      </c>
      <c r="V7" s="51">
        <v>57</v>
      </c>
      <c r="Y7" s="204">
        <v>2020</v>
      </c>
      <c r="Z7" s="145">
        <v>1580</v>
      </c>
      <c r="AA7" s="145">
        <v>8100</v>
      </c>
      <c r="AB7" s="145">
        <v>4</v>
      </c>
      <c r="AC7" s="145"/>
      <c r="AD7" s="145"/>
      <c r="AE7" s="145">
        <v>0</v>
      </c>
      <c r="AF7" s="145"/>
      <c r="AG7" s="109"/>
    </row>
    <row r="8" spans="3:33" ht="19">
      <c r="C8" s="50" t="s">
        <v>434</v>
      </c>
      <c r="H8">
        <v>3407</v>
      </c>
      <c r="I8" s="6">
        <v>742</v>
      </c>
      <c r="J8" s="6">
        <v>1999</v>
      </c>
      <c r="K8" s="63">
        <v>0</v>
      </c>
      <c r="L8" s="6"/>
      <c r="N8" s="118" t="s">
        <v>453</v>
      </c>
      <c r="O8" t="s">
        <v>378</v>
      </c>
      <c r="P8" s="94">
        <v>4616</v>
      </c>
      <c r="Q8" s="113" t="s">
        <v>430</v>
      </c>
      <c r="S8" s="50">
        <v>2021</v>
      </c>
      <c r="T8" s="101" t="s">
        <v>6</v>
      </c>
      <c r="U8" t="s">
        <v>448</v>
      </c>
      <c r="V8" s="51">
        <v>1406</v>
      </c>
      <c r="Y8" s="204">
        <v>2021</v>
      </c>
      <c r="Z8" s="145">
        <v>10858</v>
      </c>
      <c r="AA8" s="145">
        <v>4293</v>
      </c>
      <c r="AB8" s="145">
        <v>0</v>
      </c>
      <c r="AC8" s="145"/>
      <c r="AD8" s="145">
        <v>0</v>
      </c>
      <c r="AE8" s="145">
        <v>0</v>
      </c>
      <c r="AF8" s="145"/>
      <c r="AG8" s="109"/>
    </row>
    <row r="9" spans="3:33" ht="19">
      <c r="C9" s="50" t="s">
        <v>433</v>
      </c>
      <c r="F9">
        <v>7850</v>
      </c>
      <c r="H9">
        <v>10707</v>
      </c>
      <c r="I9">
        <v>7642</v>
      </c>
      <c r="J9">
        <v>4199</v>
      </c>
      <c r="K9" s="51">
        <v>1999</v>
      </c>
      <c r="L9" s="6"/>
      <c r="N9" s="118" t="s">
        <v>454</v>
      </c>
      <c r="O9" t="s">
        <v>378</v>
      </c>
      <c r="P9" s="94">
        <v>1203</v>
      </c>
      <c r="Q9" s="113" t="s">
        <v>430</v>
      </c>
      <c r="S9" s="50">
        <v>2021</v>
      </c>
      <c r="T9" s="101" t="s">
        <v>6</v>
      </c>
      <c r="U9" t="s">
        <v>448</v>
      </c>
      <c r="V9" s="51">
        <v>353</v>
      </c>
      <c r="Y9" s="204">
        <v>2022</v>
      </c>
      <c r="Z9" s="145">
        <v>372</v>
      </c>
      <c r="AA9" s="145">
        <v>2408</v>
      </c>
      <c r="AB9" s="145">
        <v>0</v>
      </c>
      <c r="AC9" s="145">
        <v>0</v>
      </c>
      <c r="AD9" s="145">
        <v>0</v>
      </c>
      <c r="AE9" s="145">
        <v>38</v>
      </c>
      <c r="AF9" s="145">
        <v>0</v>
      </c>
      <c r="AG9" s="109"/>
    </row>
    <row r="10" spans="3:33" ht="19">
      <c r="C10" s="50" t="s">
        <v>379</v>
      </c>
      <c r="F10">
        <v>7150</v>
      </c>
      <c r="H10">
        <v>9620</v>
      </c>
      <c r="I10" s="6">
        <v>4235</v>
      </c>
      <c r="J10" s="6">
        <v>3457</v>
      </c>
      <c r="K10" s="63">
        <v>0</v>
      </c>
      <c r="L10" s="6"/>
      <c r="N10" s="118" t="s">
        <v>455</v>
      </c>
      <c r="O10" t="s">
        <v>378</v>
      </c>
      <c r="P10" s="94">
        <v>1968</v>
      </c>
      <c r="Q10" s="113" t="s">
        <v>430</v>
      </c>
      <c r="S10" s="50">
        <v>2021</v>
      </c>
      <c r="T10" s="101" t="s">
        <v>6</v>
      </c>
      <c r="U10" t="s">
        <v>431</v>
      </c>
      <c r="V10" s="51">
        <v>450</v>
      </c>
      <c r="Y10" s="204">
        <v>2023</v>
      </c>
      <c r="Z10" s="145">
        <v>840</v>
      </c>
      <c r="AA10" s="145">
        <v>1638</v>
      </c>
      <c r="AB10" s="145"/>
      <c r="AC10" s="145"/>
      <c r="AD10" s="145"/>
      <c r="AE10" s="145"/>
      <c r="AF10" s="145"/>
      <c r="AG10" s="109"/>
    </row>
    <row r="11" spans="3:33" ht="19">
      <c r="C11" s="50" t="s">
        <v>435</v>
      </c>
      <c r="F11">
        <v>700</v>
      </c>
      <c r="H11">
        <f>H9-H10</f>
        <v>1087</v>
      </c>
      <c r="I11">
        <f t="shared" ref="I11:K11" si="0">I9-I10</f>
        <v>3407</v>
      </c>
      <c r="J11">
        <f t="shared" si="0"/>
        <v>742</v>
      </c>
      <c r="K11" s="51">
        <f t="shared" si="0"/>
        <v>1999</v>
      </c>
      <c r="L11" s="6"/>
      <c r="N11" s="118" t="s">
        <v>452</v>
      </c>
      <c r="O11" t="s">
        <v>378</v>
      </c>
      <c r="P11" s="94">
        <v>360</v>
      </c>
      <c r="Q11" s="113" t="s">
        <v>430</v>
      </c>
      <c r="S11" s="50">
        <v>2021</v>
      </c>
      <c r="T11" s="101" t="s">
        <v>6</v>
      </c>
      <c r="U11" t="s">
        <v>518</v>
      </c>
      <c r="V11" s="51">
        <v>10</v>
      </c>
      <c r="Y11" s="146"/>
      <c r="Z11" s="145"/>
      <c r="AA11" s="145"/>
      <c r="AB11" s="145"/>
      <c r="AC11" s="145"/>
      <c r="AD11" s="145"/>
      <c r="AE11" s="145"/>
      <c r="AF11" s="145"/>
      <c r="AG11" s="109"/>
    </row>
    <row r="12" spans="3:33" ht="19">
      <c r="C12" s="50"/>
      <c r="I12" s="6"/>
      <c r="J12" s="6"/>
      <c r="K12" s="63"/>
      <c r="L12" s="6"/>
      <c r="N12" s="118" t="s">
        <v>451</v>
      </c>
      <c r="O12" t="s">
        <v>378</v>
      </c>
      <c r="P12" s="94">
        <v>1760</v>
      </c>
      <c r="Q12" s="113" t="s">
        <v>503</v>
      </c>
      <c r="S12" s="50">
        <v>2021</v>
      </c>
      <c r="T12" s="101" t="s">
        <v>6</v>
      </c>
      <c r="U12" t="s">
        <v>518</v>
      </c>
      <c r="V12" s="51">
        <v>48</v>
      </c>
      <c r="Y12" s="146" t="s">
        <v>34</v>
      </c>
      <c r="Z12" s="145">
        <v>16585</v>
      </c>
      <c r="AA12" s="145">
        <v>16440</v>
      </c>
      <c r="AB12" s="145">
        <v>984</v>
      </c>
      <c r="AC12" s="145"/>
      <c r="AD12" s="145"/>
      <c r="AE12" s="145">
        <v>38</v>
      </c>
      <c r="AF12" s="145"/>
      <c r="AG12" s="109"/>
    </row>
    <row r="13" spans="3:33" ht="19">
      <c r="C13" s="52" t="s">
        <v>34</v>
      </c>
      <c r="D13" s="53"/>
      <c r="E13" s="53"/>
      <c r="F13" s="53"/>
      <c r="G13" s="53"/>
      <c r="H13" s="93"/>
      <c r="I13" s="64"/>
      <c r="J13" s="64"/>
      <c r="K13" s="65"/>
      <c r="L13" s="6"/>
      <c r="N13" s="118" t="s">
        <v>450</v>
      </c>
      <c r="O13" t="s">
        <v>427</v>
      </c>
      <c r="P13" s="94">
        <v>690</v>
      </c>
      <c r="Q13" s="113" t="s">
        <v>430</v>
      </c>
      <c r="S13" s="50">
        <v>2021</v>
      </c>
      <c r="T13" s="101" t="s">
        <v>7</v>
      </c>
      <c r="U13" t="s">
        <v>518</v>
      </c>
      <c r="V13" s="51">
        <v>10</v>
      </c>
      <c r="Y13" s="146"/>
      <c r="Z13" s="145"/>
      <c r="AA13" s="145"/>
      <c r="AB13" s="145"/>
      <c r="AC13" s="145"/>
      <c r="AD13" s="145"/>
      <c r="AE13" s="145"/>
      <c r="AF13" s="145"/>
      <c r="AG13" s="109"/>
    </row>
    <row r="14" spans="3:33" ht="19">
      <c r="C14" s="6"/>
      <c r="D14" s="6"/>
      <c r="E14" s="6"/>
      <c r="F14" s="6"/>
      <c r="G14" s="6"/>
      <c r="H14" s="6"/>
      <c r="I14" s="6"/>
      <c r="J14" s="6"/>
      <c r="K14" s="6"/>
      <c r="N14" s="118" t="s">
        <v>450</v>
      </c>
      <c r="O14" t="s">
        <v>387</v>
      </c>
      <c r="P14" s="94">
        <v>995</v>
      </c>
      <c r="Q14" s="113" t="s">
        <v>430</v>
      </c>
      <c r="S14" s="50">
        <v>2021</v>
      </c>
      <c r="T14" s="101" t="s">
        <v>7</v>
      </c>
      <c r="U14" t="s">
        <v>518</v>
      </c>
      <c r="V14" s="51">
        <v>35</v>
      </c>
      <c r="Y14" s="146"/>
      <c r="Z14" s="145"/>
      <c r="AA14" s="145"/>
      <c r="AB14" s="145"/>
      <c r="AC14" s="145"/>
      <c r="AD14" s="145"/>
      <c r="AE14" s="145"/>
      <c r="AF14" s="145"/>
      <c r="AG14" s="109"/>
    </row>
    <row r="15" spans="3:33" ht="19">
      <c r="N15" s="274" t="s">
        <v>622</v>
      </c>
      <c r="O15" s="121" t="s">
        <v>335</v>
      </c>
      <c r="P15" s="208">
        <v>70</v>
      </c>
      <c r="Q15" s="113" t="s">
        <v>430</v>
      </c>
      <c r="S15" s="50">
        <v>2021</v>
      </c>
      <c r="T15" s="101" t="s">
        <v>7</v>
      </c>
      <c r="U15" t="s">
        <v>517</v>
      </c>
      <c r="V15" s="51">
        <v>4</v>
      </c>
      <c r="Y15" s="146"/>
      <c r="Z15" s="145"/>
      <c r="AA15" s="145"/>
      <c r="AB15" s="145"/>
      <c r="AC15" s="145"/>
      <c r="AD15" s="145"/>
      <c r="AE15" s="145"/>
      <c r="AF15" s="145"/>
      <c r="AG15" s="109"/>
    </row>
    <row r="16" spans="3:33" ht="19">
      <c r="N16" s="114" t="s">
        <v>562</v>
      </c>
      <c r="O16" s="121" t="s">
        <v>335</v>
      </c>
      <c r="P16" s="208">
        <v>610</v>
      </c>
      <c r="Q16" s="113" t="s">
        <v>430</v>
      </c>
      <c r="S16" s="50">
        <v>2021</v>
      </c>
      <c r="T16" s="101" t="s">
        <v>7</v>
      </c>
      <c r="U16" t="s">
        <v>467</v>
      </c>
      <c r="V16" s="51">
        <v>10</v>
      </c>
      <c r="Y16" s="146"/>
      <c r="Z16" s="145"/>
      <c r="AA16" s="145"/>
      <c r="AB16" s="145"/>
      <c r="AC16" s="145"/>
      <c r="AD16" s="145"/>
      <c r="AE16" s="145"/>
      <c r="AF16" s="145"/>
      <c r="AG16" s="109"/>
    </row>
    <row r="17" spans="3:33" ht="19">
      <c r="N17" s="114" t="s">
        <v>449</v>
      </c>
      <c r="O17" s="121" t="s">
        <v>335</v>
      </c>
      <c r="P17" s="208">
        <v>466</v>
      </c>
      <c r="Q17" s="113" t="s">
        <v>430</v>
      </c>
      <c r="S17" s="50">
        <v>2021</v>
      </c>
      <c r="T17" s="101" t="s">
        <v>8</v>
      </c>
      <c r="U17" t="s">
        <v>387</v>
      </c>
      <c r="V17" s="51">
        <v>995</v>
      </c>
      <c r="Y17" s="150"/>
      <c r="Z17" s="164"/>
      <c r="AA17" s="164"/>
      <c r="AB17" s="164"/>
      <c r="AC17" s="164"/>
      <c r="AD17" s="164"/>
      <c r="AE17" s="164"/>
      <c r="AF17" s="164"/>
      <c r="AG17" s="151"/>
    </row>
    <row r="18" spans="3:33" ht="19">
      <c r="N18" s="114" t="s">
        <v>563</v>
      </c>
      <c r="O18" s="121" t="s">
        <v>335</v>
      </c>
      <c r="P18" s="208">
        <v>233</v>
      </c>
      <c r="Q18" s="113" t="s">
        <v>430</v>
      </c>
      <c r="S18" s="50">
        <v>2021</v>
      </c>
      <c r="T18" s="101" t="s">
        <v>8</v>
      </c>
      <c r="U18" t="s">
        <v>519</v>
      </c>
      <c r="V18" s="51">
        <v>55</v>
      </c>
      <c r="Y18" s="145"/>
      <c r="Z18" s="145"/>
      <c r="AA18" s="145"/>
      <c r="AB18" s="145"/>
      <c r="AC18" s="145"/>
      <c r="AD18" s="145"/>
      <c r="AE18" s="145"/>
      <c r="AF18" s="145"/>
      <c r="AG18" s="145"/>
    </row>
    <row r="19" spans="3:33">
      <c r="N19" s="114" t="s">
        <v>564</v>
      </c>
      <c r="O19" s="121" t="s">
        <v>335</v>
      </c>
      <c r="P19" s="208">
        <v>233</v>
      </c>
      <c r="Q19" s="113" t="s">
        <v>430</v>
      </c>
      <c r="S19" s="50">
        <v>2021</v>
      </c>
      <c r="T19" s="101" t="s">
        <v>8</v>
      </c>
      <c r="U19" t="s">
        <v>467</v>
      </c>
      <c r="V19" s="51">
        <v>10</v>
      </c>
    </row>
    <row r="20" spans="3:33">
      <c r="N20" s="206" t="s">
        <v>564</v>
      </c>
      <c r="O20" s="207" t="s">
        <v>335</v>
      </c>
      <c r="P20" s="209">
        <v>233</v>
      </c>
      <c r="Q20" s="113" t="s">
        <v>430</v>
      </c>
      <c r="S20" s="50">
        <v>2021</v>
      </c>
      <c r="T20" s="101" t="s">
        <v>9</v>
      </c>
      <c r="U20" t="s">
        <v>520</v>
      </c>
      <c r="V20" s="51">
        <v>11</v>
      </c>
    </row>
    <row r="21" spans="3:33">
      <c r="N21" s="206"/>
      <c r="P21" s="102"/>
      <c r="S21" s="50">
        <v>2021</v>
      </c>
      <c r="T21" s="101" t="s">
        <v>9</v>
      </c>
      <c r="U21" t="s">
        <v>519</v>
      </c>
      <c r="V21" s="51">
        <v>55</v>
      </c>
    </row>
    <row r="22" spans="3:33">
      <c r="C22" t="s">
        <v>1982</v>
      </c>
      <c r="N22" s="206"/>
      <c r="P22" s="102"/>
      <c r="S22" s="50">
        <v>2021</v>
      </c>
      <c r="T22" s="101" t="s">
        <v>9</v>
      </c>
      <c r="U22" t="s">
        <v>467</v>
      </c>
      <c r="V22" s="51">
        <v>3</v>
      </c>
    </row>
    <row r="23" spans="3:33">
      <c r="C23" s="500" t="s">
        <v>1983</v>
      </c>
      <c r="D23" s="501">
        <v>142.29</v>
      </c>
      <c r="E23" s="502">
        <v>45812</v>
      </c>
      <c r="F23">
        <v>150</v>
      </c>
      <c r="G23" t="s">
        <v>1984</v>
      </c>
      <c r="N23" s="100"/>
      <c r="S23" s="50">
        <v>2021</v>
      </c>
      <c r="T23" s="101" t="s">
        <v>9</v>
      </c>
      <c r="U23" t="s">
        <v>431</v>
      </c>
      <c r="V23" s="51">
        <v>63</v>
      </c>
    </row>
    <row r="24" spans="3:33" hidden="1">
      <c r="N24" s="119" t="s">
        <v>429</v>
      </c>
      <c r="O24" t="s">
        <v>428</v>
      </c>
      <c r="P24" s="102">
        <v>5900</v>
      </c>
      <c r="S24" s="50">
        <v>2022</v>
      </c>
      <c r="T24" s="101" t="s">
        <v>35</v>
      </c>
      <c r="U24" t="s">
        <v>467</v>
      </c>
      <c r="V24" s="51">
        <v>10</v>
      </c>
    </row>
    <row r="25" spans="3:33" hidden="1">
      <c r="N25" s="118" t="s">
        <v>451</v>
      </c>
      <c r="O25" t="s">
        <v>378</v>
      </c>
      <c r="P25">
        <v>3000</v>
      </c>
      <c r="S25" s="50">
        <v>2022</v>
      </c>
      <c r="T25" s="101" t="s">
        <v>35</v>
      </c>
      <c r="U25" t="s">
        <v>519</v>
      </c>
      <c r="V25" s="51">
        <v>-55</v>
      </c>
    </row>
    <row r="26" spans="3:33" hidden="1">
      <c r="N26" s="101"/>
      <c r="S26" s="50">
        <v>2022</v>
      </c>
      <c r="T26" s="101" t="s">
        <v>35</v>
      </c>
      <c r="U26" t="s">
        <v>520</v>
      </c>
      <c r="V26" s="51">
        <v>6</v>
      </c>
    </row>
    <row r="27" spans="3:33" hidden="1">
      <c r="S27" s="50">
        <v>2022</v>
      </c>
      <c r="T27" s="101" t="s">
        <v>35</v>
      </c>
      <c r="U27" t="s">
        <v>431</v>
      </c>
      <c r="V27" s="51">
        <v>25</v>
      </c>
    </row>
    <row r="28" spans="3:33" hidden="1">
      <c r="S28" s="50">
        <v>2022</v>
      </c>
      <c r="T28" s="101" t="s">
        <v>36</v>
      </c>
      <c r="U28" t="s">
        <v>335</v>
      </c>
      <c r="V28" s="51">
        <v>70</v>
      </c>
    </row>
    <row r="29" spans="3:33" hidden="1">
      <c r="S29" s="50">
        <v>2022</v>
      </c>
      <c r="T29" s="101" t="s">
        <v>36</v>
      </c>
      <c r="U29" t="s">
        <v>467</v>
      </c>
      <c r="V29" s="51">
        <v>25</v>
      </c>
    </row>
    <row r="30" spans="3:33" hidden="1">
      <c r="S30" s="50">
        <v>2022</v>
      </c>
      <c r="T30" s="101" t="s">
        <v>37</v>
      </c>
      <c r="U30" t="s">
        <v>518</v>
      </c>
      <c r="V30" s="51">
        <v>13</v>
      </c>
    </row>
    <row r="31" spans="3:33" hidden="1">
      <c r="S31" s="50">
        <v>2022</v>
      </c>
      <c r="T31" s="101" t="s">
        <v>37</v>
      </c>
      <c r="U31" t="s">
        <v>517</v>
      </c>
      <c r="V31" s="51">
        <v>2</v>
      </c>
    </row>
    <row r="32" spans="3:33">
      <c r="C32" s="500"/>
      <c r="D32" s="501">
        <v>109.17</v>
      </c>
      <c r="E32" s="502">
        <v>45826</v>
      </c>
      <c r="F32">
        <v>35</v>
      </c>
      <c r="G32" t="s">
        <v>1984</v>
      </c>
      <c r="S32" s="50">
        <v>2022</v>
      </c>
      <c r="T32" s="101" t="s">
        <v>0</v>
      </c>
      <c r="U32" t="s">
        <v>335</v>
      </c>
      <c r="V32" s="51">
        <v>611</v>
      </c>
    </row>
    <row r="33" spans="2:22">
      <c r="C33" s="500"/>
      <c r="D33" s="501">
        <v>109.17</v>
      </c>
      <c r="E33" s="502">
        <v>45826</v>
      </c>
      <c r="S33" s="50">
        <v>2022</v>
      </c>
      <c r="T33" s="101" t="s">
        <v>0</v>
      </c>
      <c r="U33" t="s">
        <v>467</v>
      </c>
      <c r="V33" s="51">
        <v>45</v>
      </c>
    </row>
    <row r="34" spans="2:22">
      <c r="C34" s="500"/>
      <c r="D34" s="501">
        <v>217.58</v>
      </c>
      <c r="E34" s="502">
        <v>45840</v>
      </c>
      <c r="S34" s="50">
        <v>2022</v>
      </c>
      <c r="T34" s="101" t="s">
        <v>3</v>
      </c>
      <c r="U34" t="s">
        <v>335</v>
      </c>
      <c r="V34" s="51">
        <v>466</v>
      </c>
    </row>
    <row r="35" spans="2:22">
      <c r="C35" s="500"/>
      <c r="D35" s="501">
        <v>217.58</v>
      </c>
      <c r="E35" s="502">
        <v>45867</v>
      </c>
      <c r="S35" s="50">
        <v>2022</v>
      </c>
      <c r="T35" s="200" t="s">
        <v>4</v>
      </c>
      <c r="U35" t="s">
        <v>511</v>
      </c>
      <c r="V35" s="51">
        <v>74</v>
      </c>
    </row>
    <row r="36" spans="2:22">
      <c r="C36" s="500"/>
      <c r="D36" s="501">
        <v>44.75</v>
      </c>
      <c r="E36" s="502">
        <v>45812</v>
      </c>
      <c r="S36" s="50">
        <v>2022</v>
      </c>
      <c r="T36" s="201" t="s">
        <v>5</v>
      </c>
      <c r="U36" t="s">
        <v>467</v>
      </c>
      <c r="V36" s="51">
        <v>90</v>
      </c>
    </row>
    <row r="37" spans="2:22">
      <c r="C37" s="500"/>
      <c r="D37" s="501">
        <v>217.58</v>
      </c>
      <c r="E37" s="502">
        <v>45883</v>
      </c>
      <c r="S37" s="50">
        <v>2022</v>
      </c>
      <c r="T37" s="201" t="s">
        <v>5</v>
      </c>
      <c r="U37" t="s">
        <v>335</v>
      </c>
      <c r="V37" s="51">
        <v>233</v>
      </c>
    </row>
    <row r="38" spans="2:22">
      <c r="C38" s="500"/>
      <c r="D38" s="501">
        <v>-174.08</v>
      </c>
      <c r="E38" s="502">
        <v>45883</v>
      </c>
      <c r="S38" s="50">
        <v>2022</v>
      </c>
      <c r="T38" s="201" t="s">
        <v>6</v>
      </c>
      <c r="U38" t="s">
        <v>512</v>
      </c>
      <c r="V38" s="51">
        <v>75</v>
      </c>
    </row>
    <row r="39" spans="2:22">
      <c r="C39" s="500"/>
      <c r="D39" s="501"/>
      <c r="E39" s="502"/>
      <c r="S39" s="50">
        <v>2022</v>
      </c>
      <c r="T39" s="201" t="s">
        <v>6</v>
      </c>
      <c r="U39" t="s">
        <v>467</v>
      </c>
      <c r="V39" s="51">
        <v>35</v>
      </c>
    </row>
    <row r="40" spans="2:22">
      <c r="S40" s="50">
        <v>2022</v>
      </c>
      <c r="T40" s="201" t="s">
        <v>6</v>
      </c>
      <c r="U40" t="s">
        <v>335</v>
      </c>
      <c r="V40" s="51">
        <v>233</v>
      </c>
    </row>
    <row r="41" spans="2:22">
      <c r="S41" s="50">
        <v>2022</v>
      </c>
      <c r="T41" s="201" t="s">
        <v>6</v>
      </c>
      <c r="U41" t="s">
        <v>335</v>
      </c>
      <c r="V41" s="51">
        <v>233</v>
      </c>
    </row>
    <row r="42" spans="2:22">
      <c r="S42" s="50">
        <v>2022</v>
      </c>
      <c r="T42" s="201" t="s">
        <v>6</v>
      </c>
      <c r="U42" t="s">
        <v>467</v>
      </c>
      <c r="V42" s="51">
        <v>8</v>
      </c>
    </row>
    <row r="43" spans="2:22">
      <c r="S43" s="50">
        <v>2022</v>
      </c>
      <c r="T43" s="200" t="s">
        <v>7</v>
      </c>
      <c r="U43" t="s">
        <v>513</v>
      </c>
      <c r="V43" s="51">
        <v>90</v>
      </c>
    </row>
    <row r="44" spans="2:22">
      <c r="S44" s="50">
        <v>2022</v>
      </c>
      <c r="T44" s="202" t="s">
        <v>8</v>
      </c>
      <c r="U44" t="s">
        <v>512</v>
      </c>
      <c r="V44" s="51">
        <v>56</v>
      </c>
    </row>
    <row r="45" spans="2:22">
      <c r="S45" s="50">
        <v>2022</v>
      </c>
      <c r="T45" s="200" t="s">
        <v>9</v>
      </c>
      <c r="U45" t="s">
        <v>511</v>
      </c>
      <c r="V45" s="51">
        <v>63</v>
      </c>
    </row>
    <row r="46" spans="2:22" ht="17" hidden="1">
      <c r="B46" s="87">
        <v>44438</v>
      </c>
      <c r="S46" s="50">
        <v>2023</v>
      </c>
      <c r="T46" s="101" t="s">
        <v>35</v>
      </c>
      <c r="U46" t="s">
        <v>467</v>
      </c>
      <c r="V46" s="51">
        <v>7</v>
      </c>
    </row>
    <row r="47" spans="2:22" hidden="1">
      <c r="S47" s="50">
        <v>2023</v>
      </c>
      <c r="T47" s="101" t="s">
        <v>35</v>
      </c>
      <c r="U47" t="s">
        <v>511</v>
      </c>
      <c r="V47" s="51">
        <v>2</v>
      </c>
    </row>
    <row r="48" spans="2:22" hidden="1">
      <c r="S48" s="50">
        <v>2023</v>
      </c>
      <c r="T48" s="101" t="s">
        <v>35</v>
      </c>
      <c r="U48" s="201" t="s">
        <v>514</v>
      </c>
      <c r="V48" s="51">
        <v>605</v>
      </c>
    </row>
    <row r="49" spans="19:22" hidden="1">
      <c r="S49" s="50">
        <v>2023</v>
      </c>
      <c r="T49" s="101" t="s">
        <v>35</v>
      </c>
      <c r="U49" t="s">
        <v>515</v>
      </c>
      <c r="V49" s="51">
        <v>85</v>
      </c>
    </row>
    <row r="50" spans="19:22" hidden="1">
      <c r="S50" s="50">
        <v>2023</v>
      </c>
      <c r="T50" s="101" t="s">
        <v>35</v>
      </c>
      <c r="U50" t="s">
        <v>515</v>
      </c>
      <c r="V50" s="51">
        <v>545</v>
      </c>
    </row>
    <row r="51" spans="19:22" hidden="1">
      <c r="S51" s="50">
        <v>2023</v>
      </c>
      <c r="T51" s="101" t="s">
        <v>35</v>
      </c>
      <c r="U51" s="201" t="s">
        <v>516</v>
      </c>
      <c r="V51" s="51">
        <v>32</v>
      </c>
    </row>
    <row r="52" spans="19:22">
      <c r="S52" s="52"/>
      <c r="T52" s="53"/>
      <c r="U52" s="53"/>
      <c r="V52" s="54"/>
    </row>
    <row r="53" spans="19:22">
      <c r="S53" s="50"/>
    </row>
    <row r="54" spans="19:22">
      <c r="S54" s="50"/>
    </row>
    <row r="55" spans="19:22">
      <c r="S55" s="50"/>
    </row>
    <row r="56" spans="19:22">
      <c r="S56" s="50"/>
    </row>
    <row r="57" spans="19:22">
      <c r="S57" s="50"/>
    </row>
    <row r="58" spans="19:22">
      <c r="S58" s="50"/>
    </row>
    <row r="59" spans="19:22">
      <c r="S59" s="50"/>
    </row>
    <row r="60" spans="19:22">
      <c r="S60" s="50"/>
    </row>
    <row r="61" spans="19:22">
      <c r="S61" s="50"/>
    </row>
  </sheetData>
  <autoFilter ref="S4:V51" xr:uid="{28008355-5CCE-9D41-91BA-A744813610BB}">
    <filterColumn colId="1">
      <filters>
        <filter val="April"/>
        <filter val="August"/>
        <filter val="December"/>
        <filter val="July"/>
        <filter val="June"/>
        <filter val="November"/>
        <filter val="October"/>
        <filter val="September"/>
      </filters>
    </filterColumn>
  </autoFilter>
  <phoneticPr fontId="31" type="noConversion"/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93235-86B0-E44A-B035-D54CB53ACE56}">
  <sheetPr filterMode="1"/>
  <dimension ref="B6:L205"/>
  <sheetViews>
    <sheetView topLeftCell="A2" zoomScaleNormal="100" workbookViewId="0">
      <selection activeCell="H208" sqref="H208"/>
    </sheetView>
  </sheetViews>
  <sheetFormatPr baseColWidth="10" defaultRowHeight="15"/>
  <cols>
    <col min="2" max="2" width="20.1640625" customWidth="1"/>
    <col min="3" max="3" width="19.5" customWidth="1"/>
    <col min="4" max="4" width="26" bestFit="1" customWidth="1"/>
    <col min="5" max="5" width="11" bestFit="1" customWidth="1"/>
    <col min="7" max="8" width="31.33203125" customWidth="1"/>
    <col min="9" max="9" width="47.6640625" bestFit="1" customWidth="1"/>
    <col min="10" max="11" width="25.83203125" customWidth="1"/>
    <col min="13" max="13" width="21.6640625" bestFit="1" customWidth="1"/>
    <col min="14" max="14" width="11" bestFit="1" customWidth="1"/>
    <col min="20" max="20" width="17.33203125" bestFit="1" customWidth="1"/>
    <col min="21" max="21" width="21.33203125" customWidth="1"/>
    <col min="23" max="23" width="14" bestFit="1" customWidth="1"/>
  </cols>
  <sheetData>
    <row r="6" spans="2:12" ht="19">
      <c r="B6" s="115" t="s">
        <v>266</v>
      </c>
      <c r="C6" s="140" t="s">
        <v>260</v>
      </c>
      <c r="D6" s="140" t="s">
        <v>253</v>
      </c>
      <c r="E6" s="277" t="s">
        <v>254</v>
      </c>
      <c r="F6" s="140" t="s">
        <v>255</v>
      </c>
      <c r="G6" s="140" t="s">
        <v>265</v>
      </c>
      <c r="H6" s="141" t="s">
        <v>607</v>
      </c>
      <c r="I6" s="140" t="s">
        <v>305</v>
      </c>
      <c r="J6" s="140" t="s">
        <v>285</v>
      </c>
      <c r="K6" s="141" t="s">
        <v>366</v>
      </c>
    </row>
    <row r="7" spans="2:12" ht="19" hidden="1">
      <c r="B7" s="136">
        <v>2018</v>
      </c>
      <c r="C7" s="124">
        <v>43402</v>
      </c>
      <c r="D7" s="125" t="s">
        <v>252</v>
      </c>
      <c r="E7" s="47">
        <v>1.88</v>
      </c>
      <c r="F7" s="47" t="s">
        <v>141</v>
      </c>
      <c r="G7" s="47"/>
      <c r="H7" s="47"/>
      <c r="I7" s="516" t="s">
        <v>275</v>
      </c>
      <c r="J7" s="126"/>
      <c r="K7" s="137"/>
      <c r="L7" s="6"/>
    </row>
    <row r="8" spans="2:12" ht="19" hidden="1">
      <c r="B8" s="119">
        <v>2018</v>
      </c>
      <c r="C8" s="127">
        <v>43402</v>
      </c>
      <c r="D8" s="125" t="s">
        <v>252</v>
      </c>
      <c r="E8">
        <v>6.29</v>
      </c>
      <c r="F8" s="47" t="s">
        <v>141</v>
      </c>
      <c r="G8" s="47" t="s">
        <v>302</v>
      </c>
      <c r="H8" s="47"/>
      <c r="I8" s="516"/>
      <c r="J8" s="126" t="s">
        <v>257</v>
      </c>
      <c r="K8" s="138"/>
      <c r="L8" s="6"/>
    </row>
    <row r="9" spans="2:12" ht="19" hidden="1">
      <c r="B9" s="119">
        <v>2018</v>
      </c>
      <c r="C9" s="127">
        <v>43402</v>
      </c>
      <c r="D9" s="125" t="s">
        <v>252</v>
      </c>
      <c r="E9" s="128">
        <v>27.37</v>
      </c>
      <c r="F9" s="47" t="s">
        <v>141</v>
      </c>
      <c r="G9" s="47" t="s">
        <v>302</v>
      </c>
      <c r="H9" s="47"/>
      <c r="I9" s="516"/>
      <c r="J9" s="126" t="s">
        <v>257</v>
      </c>
      <c r="K9" s="138"/>
      <c r="L9" s="6"/>
    </row>
    <row r="10" spans="2:12" ht="19" hidden="1">
      <c r="B10" s="119">
        <v>2018</v>
      </c>
      <c r="C10" s="127">
        <v>43405</v>
      </c>
      <c r="D10" s="125" t="s">
        <v>252</v>
      </c>
      <c r="E10" s="128">
        <v>8.41</v>
      </c>
      <c r="F10" s="47" t="s">
        <v>141</v>
      </c>
      <c r="G10" s="47" t="s">
        <v>302</v>
      </c>
      <c r="H10" s="47"/>
      <c r="I10" s="47"/>
      <c r="J10" s="126" t="s">
        <v>257</v>
      </c>
      <c r="K10" s="138"/>
      <c r="L10" s="6"/>
    </row>
    <row r="11" spans="2:12" ht="19" hidden="1">
      <c r="B11" s="119">
        <v>2018</v>
      </c>
      <c r="C11" s="127">
        <v>43407</v>
      </c>
      <c r="D11" s="125" t="s">
        <v>252</v>
      </c>
      <c r="E11" s="47">
        <v>54.75</v>
      </c>
      <c r="F11" s="47" t="s">
        <v>141</v>
      </c>
      <c r="G11" s="47"/>
      <c r="H11" s="47"/>
      <c r="I11" s="516" t="s">
        <v>276</v>
      </c>
      <c r="J11" s="126"/>
      <c r="K11" s="138"/>
      <c r="L11" s="6"/>
    </row>
    <row r="12" spans="2:12" ht="19" hidden="1">
      <c r="B12" s="119">
        <v>2018</v>
      </c>
      <c r="C12" s="127">
        <v>43407</v>
      </c>
      <c r="D12" s="125" t="s">
        <v>252</v>
      </c>
      <c r="E12" s="129">
        <v>6.29</v>
      </c>
      <c r="F12" s="47" t="s">
        <v>141</v>
      </c>
      <c r="G12" s="47"/>
      <c r="H12" s="47"/>
      <c r="I12" s="516"/>
      <c r="J12" s="126"/>
      <c r="K12" s="138"/>
      <c r="L12" s="6"/>
    </row>
    <row r="13" spans="2:12" ht="19" hidden="1">
      <c r="B13" s="119">
        <v>2018</v>
      </c>
      <c r="C13" s="127">
        <v>43407</v>
      </c>
      <c r="D13" s="125" t="s">
        <v>252</v>
      </c>
      <c r="E13" s="130">
        <v>1.88</v>
      </c>
      <c r="F13" s="47" t="s">
        <v>141</v>
      </c>
      <c r="G13" s="47"/>
      <c r="H13" s="47"/>
      <c r="I13" s="516"/>
      <c r="J13" s="126"/>
      <c r="K13" s="138"/>
      <c r="L13" s="6"/>
    </row>
    <row r="14" spans="2:12" ht="19" hidden="1">
      <c r="B14" s="119">
        <v>2018</v>
      </c>
      <c r="C14" s="127">
        <v>43434</v>
      </c>
      <c r="D14" s="125" t="s">
        <v>258</v>
      </c>
      <c r="E14" s="47">
        <v>221.12</v>
      </c>
      <c r="F14" s="47"/>
      <c r="G14" s="47" t="s">
        <v>264</v>
      </c>
      <c r="H14" s="47"/>
      <c r="I14" s="47" t="s">
        <v>279</v>
      </c>
      <c r="J14" s="126"/>
      <c r="K14" s="138"/>
      <c r="L14" s="6"/>
    </row>
    <row r="15" spans="2:12" ht="19" hidden="1">
      <c r="B15" s="119">
        <v>2018</v>
      </c>
      <c r="C15" s="127">
        <v>43434</v>
      </c>
      <c r="D15" s="125" t="s">
        <v>258</v>
      </c>
      <c r="E15" s="47">
        <v>13.58</v>
      </c>
      <c r="F15" s="47"/>
      <c r="G15" s="47" t="s">
        <v>302</v>
      </c>
      <c r="H15" s="47"/>
      <c r="I15" s="47"/>
      <c r="J15" s="126"/>
      <c r="K15" s="138"/>
      <c r="L15" s="6"/>
    </row>
    <row r="16" spans="2:12" hidden="1">
      <c r="B16" s="119">
        <v>2018</v>
      </c>
      <c r="C16" s="127">
        <v>43437</v>
      </c>
      <c r="D16" s="125" t="s">
        <v>259</v>
      </c>
      <c r="E16" s="47">
        <v>284.36</v>
      </c>
      <c r="F16" s="47" t="s">
        <v>141</v>
      </c>
      <c r="G16" s="47" t="s">
        <v>302</v>
      </c>
      <c r="H16" s="47"/>
      <c r="I16" s="47" t="s">
        <v>306</v>
      </c>
      <c r="J16" s="47"/>
      <c r="K16" s="139"/>
    </row>
    <row r="17" spans="2:12" hidden="1">
      <c r="B17" s="119">
        <v>2018</v>
      </c>
      <c r="C17" s="127">
        <v>43438</v>
      </c>
      <c r="D17" s="125" t="s">
        <v>258</v>
      </c>
      <c r="E17" s="47">
        <v>262.7</v>
      </c>
      <c r="F17" s="47"/>
      <c r="G17" s="47" t="s">
        <v>302</v>
      </c>
      <c r="H17" s="47"/>
      <c r="I17" s="47" t="s">
        <v>279</v>
      </c>
      <c r="J17" s="126"/>
      <c r="K17" s="138"/>
    </row>
    <row r="18" spans="2:12" hidden="1">
      <c r="B18" s="119">
        <v>2018</v>
      </c>
      <c r="C18" s="127">
        <v>43438</v>
      </c>
      <c r="D18" s="47" t="s">
        <v>252</v>
      </c>
      <c r="E18" s="47">
        <v>313.36</v>
      </c>
      <c r="F18" s="47" t="s">
        <v>268</v>
      </c>
      <c r="G18" s="130" t="s">
        <v>267</v>
      </c>
      <c r="H18" s="130"/>
      <c r="I18" s="47" t="s">
        <v>280</v>
      </c>
      <c r="J18" s="126"/>
      <c r="K18" s="138"/>
    </row>
    <row r="19" spans="2:12" hidden="1">
      <c r="B19" s="119">
        <v>2018</v>
      </c>
      <c r="C19" s="127">
        <v>43440</v>
      </c>
      <c r="D19" s="125" t="s">
        <v>258</v>
      </c>
      <c r="E19" s="47">
        <v>382.08</v>
      </c>
      <c r="F19" s="47"/>
      <c r="G19" s="47" t="s">
        <v>302</v>
      </c>
      <c r="H19" s="47"/>
      <c r="I19" s="47" t="s">
        <v>279</v>
      </c>
      <c r="J19" s="126"/>
      <c r="K19" s="138"/>
    </row>
    <row r="20" spans="2:12" hidden="1">
      <c r="B20" s="119">
        <v>2018</v>
      </c>
      <c r="C20" s="127">
        <v>43452</v>
      </c>
      <c r="D20" s="125" t="s">
        <v>258</v>
      </c>
      <c r="E20" s="47">
        <v>92.16</v>
      </c>
      <c r="F20" s="47"/>
      <c r="G20" s="47" t="s">
        <v>302</v>
      </c>
      <c r="H20" s="47"/>
      <c r="I20" s="47" t="s">
        <v>279</v>
      </c>
      <c r="J20" s="126"/>
      <c r="K20" s="138"/>
    </row>
    <row r="21" spans="2:12" hidden="1">
      <c r="B21" s="136">
        <v>2019</v>
      </c>
      <c r="C21" s="131">
        <v>43469</v>
      </c>
      <c r="D21" s="132" t="s">
        <v>259</v>
      </c>
      <c r="E21" s="130">
        <v>302.45999999999998</v>
      </c>
      <c r="F21" s="47"/>
      <c r="G21" s="47"/>
      <c r="H21" s="47"/>
      <c r="I21" s="130" t="s">
        <v>307</v>
      </c>
      <c r="J21" s="47"/>
      <c r="K21" s="139"/>
    </row>
    <row r="22" spans="2:12" hidden="1">
      <c r="B22" s="119">
        <v>2019</v>
      </c>
      <c r="C22" s="127">
        <v>43469</v>
      </c>
      <c r="D22" s="125" t="s">
        <v>259</v>
      </c>
      <c r="E22" s="47">
        <v>955.03</v>
      </c>
      <c r="F22" s="47" t="s">
        <v>235</v>
      </c>
      <c r="G22" s="47" t="s">
        <v>302</v>
      </c>
      <c r="H22" s="47"/>
      <c r="I22" s="47"/>
      <c r="J22" s="47"/>
      <c r="K22" s="139"/>
    </row>
    <row r="23" spans="2:12" hidden="1">
      <c r="B23" s="119">
        <v>2019</v>
      </c>
      <c r="C23" s="127">
        <v>43476</v>
      </c>
      <c r="D23" s="125" t="s">
        <v>258</v>
      </c>
      <c r="E23" s="47">
        <v>92.16</v>
      </c>
      <c r="F23" s="47"/>
      <c r="G23" s="47" t="s">
        <v>302</v>
      </c>
      <c r="H23" s="47"/>
      <c r="I23" s="47" t="s">
        <v>279</v>
      </c>
      <c r="J23" s="126"/>
      <c r="K23" s="138"/>
    </row>
    <row r="24" spans="2:12" hidden="1">
      <c r="B24" s="119">
        <v>2019</v>
      </c>
      <c r="C24" s="127">
        <v>43511</v>
      </c>
      <c r="D24" s="125" t="s">
        <v>261</v>
      </c>
      <c r="E24" s="47">
        <v>54.95</v>
      </c>
      <c r="F24" s="47"/>
      <c r="G24" s="47" t="s">
        <v>264</v>
      </c>
      <c r="H24" s="47"/>
      <c r="I24" s="47" t="s">
        <v>281</v>
      </c>
      <c r="J24" s="126"/>
      <c r="K24" s="138"/>
      <c r="L24" s="47"/>
    </row>
    <row r="25" spans="2:12" hidden="1">
      <c r="B25" s="119">
        <v>2019</v>
      </c>
      <c r="C25" s="127">
        <v>43707</v>
      </c>
      <c r="D25" s="125" t="s">
        <v>262</v>
      </c>
      <c r="E25" s="47">
        <v>81.459999999999994</v>
      </c>
      <c r="F25" s="47"/>
      <c r="G25" s="47" t="s">
        <v>264</v>
      </c>
      <c r="H25" s="47"/>
      <c r="I25" s="47" t="s">
        <v>278</v>
      </c>
      <c r="J25" s="126"/>
      <c r="K25" s="138"/>
    </row>
    <row r="26" spans="2:12" hidden="1">
      <c r="B26" s="119">
        <v>2019</v>
      </c>
      <c r="C26" s="127">
        <v>43707</v>
      </c>
      <c r="D26" s="125" t="s">
        <v>262</v>
      </c>
      <c r="E26" s="47">
        <v>105.95</v>
      </c>
      <c r="F26" s="47"/>
      <c r="G26" s="47" t="s">
        <v>264</v>
      </c>
      <c r="H26" s="47"/>
      <c r="I26" s="47" t="s">
        <v>277</v>
      </c>
      <c r="J26" s="126"/>
      <c r="K26" s="138"/>
    </row>
    <row r="27" spans="2:12" hidden="1">
      <c r="B27" s="119">
        <v>2019</v>
      </c>
      <c r="C27" s="127">
        <v>43719</v>
      </c>
      <c r="D27" s="125" t="s">
        <v>262</v>
      </c>
      <c r="E27" s="47">
        <v>113</v>
      </c>
      <c r="F27" s="47" t="s">
        <v>141</v>
      </c>
      <c r="G27" s="47"/>
      <c r="H27" s="47"/>
      <c r="I27" s="47" t="s">
        <v>304</v>
      </c>
      <c r="J27" s="47"/>
      <c r="K27" s="139"/>
    </row>
    <row r="28" spans="2:12" hidden="1">
      <c r="B28" s="119">
        <v>2019</v>
      </c>
      <c r="C28" s="133">
        <v>43724</v>
      </c>
      <c r="D28" s="125" t="s">
        <v>263</v>
      </c>
      <c r="E28" s="47">
        <v>13.32</v>
      </c>
      <c r="G28" s="47" t="s">
        <v>302</v>
      </c>
      <c r="H28" s="47"/>
      <c r="K28" s="113"/>
    </row>
    <row r="29" spans="2:12" hidden="1">
      <c r="B29" s="119">
        <v>2019</v>
      </c>
      <c r="C29" s="133">
        <v>43745</v>
      </c>
      <c r="D29" s="125" t="s">
        <v>263</v>
      </c>
      <c r="E29" s="47">
        <v>183.12</v>
      </c>
      <c r="G29" s="47" t="s">
        <v>302</v>
      </c>
      <c r="H29" s="47"/>
      <c r="K29" s="113"/>
    </row>
    <row r="30" spans="2:12" hidden="1">
      <c r="B30" s="119">
        <v>2019</v>
      </c>
      <c r="C30" s="133">
        <v>43754</v>
      </c>
      <c r="D30" s="125" t="s">
        <v>258</v>
      </c>
      <c r="E30" s="47">
        <v>92.16</v>
      </c>
      <c r="G30" s="47" t="s">
        <v>302</v>
      </c>
      <c r="H30" s="47"/>
      <c r="K30" s="113"/>
    </row>
    <row r="31" spans="2:12" hidden="1">
      <c r="B31" s="119">
        <v>2019</v>
      </c>
      <c r="C31" s="133">
        <v>43767</v>
      </c>
      <c r="D31" s="125" t="s">
        <v>258</v>
      </c>
      <c r="E31" s="47">
        <v>212.12</v>
      </c>
      <c r="G31" s="47" t="s">
        <v>302</v>
      </c>
      <c r="H31" s="47"/>
      <c r="K31" s="113"/>
    </row>
    <row r="32" spans="2:12" hidden="1">
      <c r="B32" s="119">
        <v>2019</v>
      </c>
      <c r="C32" s="133">
        <v>43773</v>
      </c>
      <c r="D32" s="125" t="s">
        <v>258</v>
      </c>
      <c r="E32" s="47">
        <v>272.7</v>
      </c>
      <c r="G32" s="47" t="s">
        <v>302</v>
      </c>
      <c r="H32" s="47"/>
      <c r="K32" s="113"/>
    </row>
    <row r="33" spans="2:11" hidden="1">
      <c r="B33" s="119">
        <v>2019</v>
      </c>
      <c r="C33" s="133">
        <v>43774</v>
      </c>
      <c r="D33" s="125" t="s">
        <v>258</v>
      </c>
      <c r="E33" s="47">
        <v>92.16</v>
      </c>
      <c r="G33" s="47" t="s">
        <v>302</v>
      </c>
      <c r="H33" s="47"/>
      <c r="K33" s="113"/>
    </row>
    <row r="34" spans="2:11" hidden="1">
      <c r="B34" s="119">
        <v>2019</v>
      </c>
      <c r="C34" s="133">
        <v>43796</v>
      </c>
      <c r="D34" s="125" t="s">
        <v>258</v>
      </c>
      <c r="E34" s="47">
        <v>124.56</v>
      </c>
      <c r="G34" s="47" t="s">
        <v>302</v>
      </c>
      <c r="H34" s="47"/>
      <c r="K34" s="113"/>
    </row>
    <row r="35" spans="2:11" hidden="1">
      <c r="B35" s="119">
        <v>2019</v>
      </c>
      <c r="C35" s="133">
        <v>43802</v>
      </c>
      <c r="D35" s="125" t="s">
        <v>286</v>
      </c>
      <c r="E35" s="47">
        <v>98.27</v>
      </c>
      <c r="G35" s="47" t="s">
        <v>302</v>
      </c>
      <c r="H35" s="47"/>
      <c r="K35" s="113"/>
    </row>
    <row r="36" spans="2:11" hidden="1">
      <c r="B36" s="119">
        <v>2019</v>
      </c>
      <c r="C36" s="133">
        <v>43805</v>
      </c>
      <c r="D36" s="125" t="s">
        <v>258</v>
      </c>
      <c r="E36" s="47">
        <v>124.56</v>
      </c>
      <c r="G36" s="47" t="s">
        <v>302</v>
      </c>
      <c r="H36" s="47"/>
      <c r="K36" s="113"/>
    </row>
    <row r="37" spans="2:11" hidden="1">
      <c r="B37" s="119">
        <v>2019</v>
      </c>
      <c r="C37" s="133">
        <v>43805</v>
      </c>
      <c r="D37" s="125" t="s">
        <v>300</v>
      </c>
      <c r="E37" s="47">
        <v>122.43</v>
      </c>
      <c r="G37" s="47" t="s">
        <v>302</v>
      </c>
      <c r="H37" s="47"/>
      <c r="K37" s="113"/>
    </row>
    <row r="38" spans="2:11" hidden="1">
      <c r="B38" s="119">
        <v>2019</v>
      </c>
      <c r="C38" s="133">
        <v>43805</v>
      </c>
      <c r="D38" s="125" t="s">
        <v>300</v>
      </c>
      <c r="E38" s="47">
        <v>122.43</v>
      </c>
      <c r="G38" s="47" t="s">
        <v>302</v>
      </c>
      <c r="H38" s="47"/>
      <c r="K38" s="113"/>
    </row>
    <row r="39" spans="2:11" hidden="1">
      <c r="B39" s="119">
        <v>2019</v>
      </c>
      <c r="C39" s="133">
        <v>43808</v>
      </c>
      <c r="D39" s="125" t="s">
        <v>287</v>
      </c>
      <c r="E39" s="47">
        <v>16.52</v>
      </c>
      <c r="G39" s="47" t="s">
        <v>302</v>
      </c>
      <c r="H39" s="47"/>
      <c r="K39" s="113"/>
    </row>
    <row r="40" spans="2:11" hidden="1">
      <c r="B40" s="119">
        <v>2019</v>
      </c>
      <c r="C40" s="133">
        <v>43815</v>
      </c>
      <c r="D40" s="125" t="s">
        <v>258</v>
      </c>
      <c r="E40" s="47">
        <v>21.21</v>
      </c>
      <c r="G40" s="47" t="s">
        <v>302</v>
      </c>
      <c r="H40" s="47"/>
      <c r="K40" s="113"/>
    </row>
    <row r="41" spans="2:11" hidden="1">
      <c r="B41" s="119">
        <v>2019</v>
      </c>
      <c r="C41" s="133">
        <v>43825</v>
      </c>
      <c r="D41" s="47" t="s">
        <v>301</v>
      </c>
      <c r="E41" s="47">
        <v>6.86</v>
      </c>
      <c r="K41" s="113"/>
    </row>
    <row r="42" spans="2:11" hidden="1">
      <c r="B42" s="119">
        <v>2020</v>
      </c>
      <c r="C42" s="133">
        <v>43843</v>
      </c>
      <c r="D42" s="125" t="s">
        <v>258</v>
      </c>
      <c r="E42" s="47">
        <v>180.58</v>
      </c>
      <c r="G42" s="47"/>
      <c r="H42" s="47"/>
      <c r="K42" s="113" t="s">
        <v>367</v>
      </c>
    </row>
    <row r="43" spans="2:11" hidden="1">
      <c r="B43" s="119">
        <v>2020</v>
      </c>
      <c r="C43" s="133">
        <v>43857</v>
      </c>
      <c r="D43" s="94" t="s">
        <v>258</v>
      </c>
      <c r="E43">
        <v>1.58</v>
      </c>
      <c r="K43" s="113"/>
    </row>
    <row r="44" spans="2:11" hidden="1">
      <c r="B44" s="119">
        <v>2020</v>
      </c>
      <c r="C44" s="133">
        <v>43866</v>
      </c>
      <c r="D44" s="94" t="s">
        <v>258</v>
      </c>
      <c r="E44">
        <v>23.69</v>
      </c>
      <c r="K44" s="113"/>
    </row>
    <row r="45" spans="2:11" hidden="1">
      <c r="B45" s="119">
        <v>2020</v>
      </c>
      <c r="C45" s="133">
        <v>43866</v>
      </c>
      <c r="D45" s="94" t="s">
        <v>258</v>
      </c>
      <c r="E45">
        <v>1.32</v>
      </c>
      <c r="K45" s="113"/>
    </row>
    <row r="46" spans="2:11" hidden="1">
      <c r="B46" s="119">
        <v>2020</v>
      </c>
      <c r="C46" s="133">
        <v>43872</v>
      </c>
      <c r="D46" s="94" t="s">
        <v>258</v>
      </c>
      <c r="E46">
        <v>19.32</v>
      </c>
      <c r="K46" s="113"/>
    </row>
    <row r="47" spans="2:11" hidden="1">
      <c r="B47" s="119">
        <v>2020</v>
      </c>
      <c r="C47" s="133">
        <v>43874</v>
      </c>
      <c r="D47" s="94" t="s">
        <v>258</v>
      </c>
      <c r="E47">
        <v>19.32</v>
      </c>
      <c r="K47" s="113"/>
    </row>
    <row r="48" spans="2:11" hidden="1">
      <c r="B48" s="119">
        <v>2020</v>
      </c>
      <c r="C48" s="133">
        <v>43876</v>
      </c>
      <c r="D48" s="94" t="s">
        <v>258</v>
      </c>
      <c r="E48">
        <v>20.6</v>
      </c>
      <c r="K48" s="113"/>
    </row>
    <row r="49" spans="2:11" hidden="1">
      <c r="B49" s="119">
        <v>2020</v>
      </c>
      <c r="C49" s="133">
        <v>43878</v>
      </c>
      <c r="D49" s="94" t="s">
        <v>258</v>
      </c>
      <c r="E49">
        <v>20.6</v>
      </c>
      <c r="K49" s="113"/>
    </row>
    <row r="50" spans="2:11" hidden="1">
      <c r="B50" s="119">
        <v>2020</v>
      </c>
      <c r="C50" s="133">
        <v>43880</v>
      </c>
      <c r="D50" s="94" t="s">
        <v>258</v>
      </c>
      <c r="E50">
        <v>22.42</v>
      </c>
      <c r="I50" s="121"/>
      <c r="K50" s="113"/>
    </row>
    <row r="51" spans="2:11" hidden="1">
      <c r="B51" s="119">
        <v>2020</v>
      </c>
      <c r="C51" s="133">
        <v>43881</v>
      </c>
      <c r="D51" s="94" t="s">
        <v>258</v>
      </c>
      <c r="E51">
        <v>19.32</v>
      </c>
      <c r="K51" s="113"/>
    </row>
    <row r="52" spans="2:11" hidden="1">
      <c r="B52" s="119">
        <v>2020</v>
      </c>
      <c r="C52" s="133">
        <v>43882</v>
      </c>
      <c r="D52" s="94" t="s">
        <v>258</v>
      </c>
      <c r="E52">
        <v>12.04</v>
      </c>
      <c r="K52" s="113"/>
    </row>
    <row r="53" spans="2:11" hidden="1">
      <c r="B53" s="119">
        <v>2020</v>
      </c>
      <c r="C53" s="133">
        <v>43883</v>
      </c>
      <c r="D53" s="94" t="s">
        <v>258</v>
      </c>
      <c r="E53">
        <v>138.72</v>
      </c>
      <c r="K53" s="113"/>
    </row>
    <row r="54" spans="2:11" hidden="1">
      <c r="B54" s="119">
        <v>2020</v>
      </c>
      <c r="C54" s="133">
        <v>43883</v>
      </c>
      <c r="D54" s="94" t="s">
        <v>311</v>
      </c>
      <c r="E54" s="134">
        <v>2800</v>
      </c>
      <c r="G54" t="s">
        <v>365</v>
      </c>
      <c r="K54" s="113"/>
    </row>
    <row r="55" spans="2:11" hidden="1">
      <c r="B55" s="119">
        <v>2020</v>
      </c>
      <c r="C55" s="133">
        <v>43886</v>
      </c>
      <c r="D55" s="94" t="s">
        <v>308</v>
      </c>
      <c r="E55" s="134">
        <v>16.510000000000002</v>
      </c>
      <c r="F55" t="s">
        <v>141</v>
      </c>
      <c r="G55" t="s">
        <v>313</v>
      </c>
      <c r="K55" s="113"/>
    </row>
    <row r="56" spans="2:11" hidden="1">
      <c r="B56" s="119">
        <v>2020</v>
      </c>
      <c r="C56" s="133">
        <v>43886</v>
      </c>
      <c r="D56" t="s">
        <v>252</v>
      </c>
      <c r="E56" s="134">
        <v>2.84</v>
      </c>
      <c r="K56" s="113"/>
    </row>
    <row r="57" spans="2:11" hidden="1">
      <c r="B57" s="119">
        <v>2020</v>
      </c>
      <c r="C57" s="133">
        <v>43886</v>
      </c>
      <c r="D57" t="s">
        <v>252</v>
      </c>
      <c r="E57">
        <v>1.5</v>
      </c>
      <c r="K57" s="113"/>
    </row>
    <row r="58" spans="2:11" hidden="1">
      <c r="B58" s="119">
        <v>2020</v>
      </c>
      <c r="C58" s="133">
        <v>43886</v>
      </c>
      <c r="D58" t="s">
        <v>252</v>
      </c>
      <c r="E58">
        <v>6.71</v>
      </c>
      <c r="K58" s="113"/>
    </row>
    <row r="59" spans="2:11" hidden="1">
      <c r="B59" s="119">
        <v>2020</v>
      </c>
      <c r="C59" s="133">
        <v>43886</v>
      </c>
      <c r="D59" t="s">
        <v>252</v>
      </c>
      <c r="E59">
        <v>4.96</v>
      </c>
      <c r="K59" s="113"/>
    </row>
    <row r="60" spans="2:11" hidden="1">
      <c r="B60" s="119">
        <v>2020</v>
      </c>
      <c r="C60" s="133">
        <v>43890</v>
      </c>
      <c r="D60" s="94" t="s">
        <v>309</v>
      </c>
      <c r="E60">
        <v>18.260000000000002</v>
      </c>
      <c r="G60" t="s">
        <v>264</v>
      </c>
      <c r="K60" s="113"/>
    </row>
    <row r="61" spans="2:11" hidden="1">
      <c r="B61" s="119">
        <v>2020</v>
      </c>
      <c r="C61" s="133">
        <v>43900</v>
      </c>
      <c r="D61" s="94" t="s">
        <v>258</v>
      </c>
      <c r="E61">
        <v>18.059999999999999</v>
      </c>
      <c r="K61" s="113"/>
    </row>
    <row r="62" spans="2:11" hidden="1">
      <c r="B62" s="119">
        <v>2020</v>
      </c>
      <c r="C62" s="133">
        <v>43907</v>
      </c>
      <c r="D62" s="94" t="s">
        <v>308</v>
      </c>
      <c r="E62">
        <v>7.14</v>
      </c>
      <c r="G62" t="s">
        <v>264</v>
      </c>
      <c r="K62" s="113"/>
    </row>
    <row r="63" spans="2:11" hidden="1">
      <c r="B63" s="119">
        <v>2020</v>
      </c>
      <c r="C63" s="133">
        <v>43908</v>
      </c>
      <c r="D63" s="94" t="s">
        <v>262</v>
      </c>
      <c r="E63">
        <v>3.38</v>
      </c>
      <c r="G63" t="s">
        <v>264</v>
      </c>
      <c r="K63" s="113"/>
    </row>
    <row r="64" spans="2:11" hidden="1">
      <c r="B64" s="119">
        <v>2020</v>
      </c>
      <c r="C64" s="133">
        <v>43923</v>
      </c>
      <c r="D64" t="s">
        <v>312</v>
      </c>
      <c r="E64">
        <v>1.07</v>
      </c>
      <c r="K64" s="113"/>
    </row>
    <row r="65" spans="2:11" hidden="1">
      <c r="B65" s="119">
        <v>2020</v>
      </c>
      <c r="C65" s="133">
        <v>43930</v>
      </c>
      <c r="D65" s="94" t="s">
        <v>258</v>
      </c>
      <c r="E65">
        <v>18.059999999999999</v>
      </c>
      <c r="I65" t="s">
        <v>337</v>
      </c>
      <c r="K65" s="113"/>
    </row>
    <row r="66" spans="2:11" hidden="1">
      <c r="B66" s="119">
        <v>2020</v>
      </c>
      <c r="C66" s="133">
        <v>43997</v>
      </c>
      <c r="D66" s="94" t="s">
        <v>335</v>
      </c>
      <c r="E66">
        <v>50.74</v>
      </c>
      <c r="G66" t="s">
        <v>264</v>
      </c>
      <c r="K66" s="113"/>
    </row>
    <row r="67" spans="2:11" hidden="1">
      <c r="B67" s="119">
        <v>2020</v>
      </c>
      <c r="C67" s="133">
        <v>44004</v>
      </c>
      <c r="D67" t="s">
        <v>252</v>
      </c>
      <c r="E67">
        <v>0.87</v>
      </c>
      <c r="K67" s="113"/>
    </row>
    <row r="68" spans="2:11" hidden="1">
      <c r="B68" s="119">
        <v>2020</v>
      </c>
      <c r="C68" s="133">
        <v>44004</v>
      </c>
      <c r="D68" t="s">
        <v>252</v>
      </c>
      <c r="E68">
        <v>2.7</v>
      </c>
      <c r="K68" s="113"/>
    </row>
    <row r="69" spans="2:11" hidden="1">
      <c r="B69" s="119">
        <v>2020</v>
      </c>
      <c r="C69" s="133">
        <v>44004</v>
      </c>
      <c r="D69" t="s">
        <v>252</v>
      </c>
      <c r="E69">
        <v>8.3699999999999992</v>
      </c>
      <c r="K69" s="113"/>
    </row>
    <row r="70" spans="2:11" hidden="1">
      <c r="B70" s="119">
        <v>2020</v>
      </c>
      <c r="C70" s="133">
        <v>44004</v>
      </c>
      <c r="D70" s="94" t="s">
        <v>252</v>
      </c>
      <c r="E70">
        <v>1.99</v>
      </c>
      <c r="G70" t="s">
        <v>313</v>
      </c>
      <c r="K70" s="113"/>
    </row>
    <row r="71" spans="2:11" hidden="1">
      <c r="B71" s="119">
        <v>2020</v>
      </c>
      <c r="C71" s="133">
        <v>44008</v>
      </c>
      <c r="D71" t="s">
        <v>335</v>
      </c>
      <c r="E71">
        <v>14.17</v>
      </c>
      <c r="K71" s="113"/>
    </row>
    <row r="72" spans="2:11" hidden="1">
      <c r="B72" s="119">
        <v>2020</v>
      </c>
      <c r="C72" s="133">
        <v>44008</v>
      </c>
      <c r="D72" s="94" t="s">
        <v>335</v>
      </c>
      <c r="E72">
        <v>19.45</v>
      </c>
      <c r="G72" t="s">
        <v>264</v>
      </c>
      <c r="K72" s="113"/>
    </row>
    <row r="73" spans="2:11" hidden="1">
      <c r="B73" s="119">
        <v>2020</v>
      </c>
      <c r="C73" s="133">
        <v>44021</v>
      </c>
      <c r="D73" t="s">
        <v>335</v>
      </c>
      <c r="E73">
        <v>10.4</v>
      </c>
      <c r="K73" s="113"/>
    </row>
    <row r="74" spans="2:11" hidden="1">
      <c r="B74" s="119">
        <v>2020</v>
      </c>
      <c r="C74" s="133">
        <v>44064</v>
      </c>
      <c r="D74" s="94" t="s">
        <v>252</v>
      </c>
      <c r="E74">
        <v>2.73</v>
      </c>
      <c r="G74" t="s">
        <v>313</v>
      </c>
      <c r="K74" s="113"/>
    </row>
    <row r="75" spans="2:11" hidden="1">
      <c r="B75" s="119">
        <v>2020</v>
      </c>
      <c r="C75" s="133">
        <v>44064</v>
      </c>
      <c r="D75" s="94" t="s">
        <v>335</v>
      </c>
      <c r="E75">
        <v>10.4</v>
      </c>
      <c r="G75" t="s">
        <v>264</v>
      </c>
      <c r="K75" s="113"/>
    </row>
    <row r="76" spans="2:11" hidden="1">
      <c r="B76" s="119">
        <v>2020</v>
      </c>
      <c r="C76" s="133">
        <v>44075</v>
      </c>
      <c r="D76" s="135" t="s">
        <v>335</v>
      </c>
      <c r="E76">
        <v>88.98</v>
      </c>
      <c r="G76" t="s">
        <v>313</v>
      </c>
      <c r="K76" s="113"/>
    </row>
    <row r="77" spans="2:11" hidden="1">
      <c r="B77" s="119">
        <v>2020</v>
      </c>
      <c r="C77" s="133">
        <v>44075</v>
      </c>
      <c r="D77" s="135" t="s">
        <v>335</v>
      </c>
      <c r="E77">
        <v>88.98</v>
      </c>
      <c r="I77" t="s">
        <v>360</v>
      </c>
      <c r="K77" s="113"/>
    </row>
    <row r="78" spans="2:11" hidden="1">
      <c r="B78" s="119">
        <v>2020</v>
      </c>
      <c r="C78" s="133">
        <v>44075</v>
      </c>
      <c r="D78" s="102" t="s">
        <v>335</v>
      </c>
      <c r="E78">
        <v>16.399999999999999</v>
      </c>
      <c r="K78" s="113"/>
    </row>
    <row r="79" spans="2:11" hidden="1">
      <c r="B79" s="119">
        <v>2020</v>
      </c>
      <c r="C79" s="133">
        <v>44075</v>
      </c>
      <c r="D79" s="94" t="s">
        <v>350</v>
      </c>
      <c r="E79">
        <v>1362.9</v>
      </c>
      <c r="G79" t="s">
        <v>313</v>
      </c>
      <c r="K79" s="113"/>
    </row>
    <row r="80" spans="2:11" hidden="1">
      <c r="B80" s="119">
        <v>2020</v>
      </c>
      <c r="C80" s="133">
        <v>44075</v>
      </c>
      <c r="D80" s="94" t="s">
        <v>364</v>
      </c>
      <c r="E80">
        <v>2700</v>
      </c>
      <c r="G80" t="s">
        <v>365</v>
      </c>
      <c r="K80" s="113"/>
    </row>
    <row r="81" spans="2:11" hidden="1">
      <c r="B81" s="119">
        <v>2020</v>
      </c>
      <c r="C81" s="133">
        <v>44075</v>
      </c>
      <c r="D81" s="94" t="s">
        <v>358</v>
      </c>
      <c r="E81">
        <v>108</v>
      </c>
      <c r="G81" t="s">
        <v>313</v>
      </c>
      <c r="K81" s="113"/>
    </row>
    <row r="82" spans="2:11" hidden="1">
      <c r="B82" s="119">
        <v>2020</v>
      </c>
      <c r="C82" s="133">
        <v>44075</v>
      </c>
      <c r="D82" s="94" t="s">
        <v>359</v>
      </c>
      <c r="E82">
        <v>108</v>
      </c>
      <c r="G82" t="s">
        <v>313</v>
      </c>
      <c r="K82" s="113"/>
    </row>
    <row r="83" spans="2:11" hidden="1">
      <c r="B83" s="119">
        <v>2020</v>
      </c>
      <c r="C83" s="133">
        <v>44076</v>
      </c>
      <c r="D83" s="94" t="s">
        <v>348</v>
      </c>
      <c r="E83">
        <v>16.68</v>
      </c>
      <c r="G83" t="s">
        <v>313</v>
      </c>
      <c r="K83" s="113"/>
    </row>
    <row r="84" spans="2:11" hidden="1">
      <c r="B84" s="119">
        <v>2021</v>
      </c>
      <c r="C84" s="133">
        <v>44217</v>
      </c>
      <c r="D84" s="94" t="s">
        <v>252</v>
      </c>
      <c r="E84">
        <v>0.85</v>
      </c>
      <c r="I84" t="s">
        <v>313</v>
      </c>
      <c r="K84" s="113"/>
    </row>
    <row r="85" spans="2:11" hidden="1">
      <c r="B85" s="119">
        <v>2021</v>
      </c>
      <c r="C85" s="133">
        <v>44217</v>
      </c>
      <c r="D85" t="s">
        <v>252</v>
      </c>
      <c r="E85">
        <v>3.12</v>
      </c>
      <c r="K85" s="113"/>
    </row>
    <row r="86" spans="2:11" hidden="1">
      <c r="B86" s="119">
        <v>2021</v>
      </c>
      <c r="C86" s="133">
        <v>44223</v>
      </c>
      <c r="D86" s="94" t="s">
        <v>252</v>
      </c>
      <c r="E86">
        <v>3.46</v>
      </c>
      <c r="I86" t="s">
        <v>313</v>
      </c>
      <c r="K86" s="113"/>
    </row>
    <row r="87" spans="2:11" hidden="1">
      <c r="B87" s="119">
        <v>2021</v>
      </c>
      <c r="C87" s="133">
        <v>44223</v>
      </c>
      <c r="D87" s="94" t="s">
        <v>252</v>
      </c>
      <c r="E87">
        <v>1.04</v>
      </c>
      <c r="I87" t="s">
        <v>313</v>
      </c>
      <c r="K87" s="113"/>
    </row>
    <row r="88" spans="2:11" hidden="1">
      <c r="B88" s="119">
        <v>2021</v>
      </c>
      <c r="C88" s="133">
        <v>44223</v>
      </c>
      <c r="D88" t="s">
        <v>335</v>
      </c>
      <c r="E88">
        <v>23.6</v>
      </c>
      <c r="K88" s="113"/>
    </row>
    <row r="89" spans="2:11" hidden="1">
      <c r="B89" s="119">
        <v>2021</v>
      </c>
      <c r="C89" s="133">
        <v>44230</v>
      </c>
      <c r="D89" s="94" t="s">
        <v>252</v>
      </c>
      <c r="E89">
        <v>3.46</v>
      </c>
      <c r="I89" t="s">
        <v>313</v>
      </c>
      <c r="K89" s="113"/>
    </row>
    <row r="90" spans="2:11" hidden="1">
      <c r="B90" s="119">
        <v>2021</v>
      </c>
      <c r="C90" s="133">
        <v>44230</v>
      </c>
      <c r="D90" t="s">
        <v>335</v>
      </c>
      <c r="E90">
        <v>23.6</v>
      </c>
      <c r="K90" s="113"/>
    </row>
    <row r="91" spans="2:11" hidden="1">
      <c r="B91" s="119">
        <v>2021</v>
      </c>
      <c r="C91" s="133">
        <v>44232</v>
      </c>
      <c r="D91" s="94" t="s">
        <v>252</v>
      </c>
      <c r="E91">
        <v>3.46</v>
      </c>
      <c r="I91" t="s">
        <v>313</v>
      </c>
      <c r="K91" s="113"/>
    </row>
    <row r="92" spans="2:11" hidden="1">
      <c r="B92" s="119">
        <v>2021</v>
      </c>
      <c r="C92" s="133">
        <v>44232</v>
      </c>
      <c r="D92" t="s">
        <v>335</v>
      </c>
      <c r="E92">
        <v>23.6</v>
      </c>
      <c r="K92" s="113"/>
    </row>
    <row r="93" spans="2:11" hidden="1">
      <c r="B93" s="119">
        <v>2021</v>
      </c>
      <c r="C93" s="133">
        <v>44235</v>
      </c>
      <c r="D93" s="94" t="s">
        <v>252</v>
      </c>
      <c r="E93">
        <v>3.46</v>
      </c>
      <c r="I93" t="s">
        <v>313</v>
      </c>
      <c r="K93" s="113"/>
    </row>
    <row r="94" spans="2:11" hidden="1">
      <c r="B94" s="119">
        <v>2021</v>
      </c>
      <c r="C94" s="133">
        <v>44235</v>
      </c>
      <c r="D94" t="s">
        <v>335</v>
      </c>
      <c r="E94">
        <v>23.6</v>
      </c>
      <c r="K94" s="113"/>
    </row>
    <row r="95" spans="2:11" hidden="1">
      <c r="B95" s="119">
        <v>2021</v>
      </c>
      <c r="C95" s="133">
        <v>44238</v>
      </c>
      <c r="D95" t="s">
        <v>335</v>
      </c>
      <c r="E95">
        <v>206.02</v>
      </c>
      <c r="K95" s="113"/>
    </row>
    <row r="96" spans="2:11" hidden="1">
      <c r="B96" s="119">
        <v>2021</v>
      </c>
      <c r="C96" s="133">
        <v>44238</v>
      </c>
      <c r="D96" t="s">
        <v>335</v>
      </c>
      <c r="E96">
        <v>21.49</v>
      </c>
      <c r="K96" s="113"/>
    </row>
    <row r="97" spans="2:11" hidden="1">
      <c r="B97" s="119">
        <v>2021</v>
      </c>
      <c r="C97" s="133">
        <v>44238</v>
      </c>
      <c r="D97" s="25" t="s">
        <v>335</v>
      </c>
      <c r="E97">
        <v>4.97</v>
      </c>
      <c r="K97" s="113"/>
    </row>
    <row r="98" spans="2:11" hidden="1">
      <c r="B98" s="119">
        <v>2021</v>
      </c>
      <c r="C98" s="133">
        <v>44238</v>
      </c>
      <c r="D98" t="s">
        <v>335</v>
      </c>
      <c r="E98">
        <v>0.61</v>
      </c>
      <c r="K98" s="113"/>
    </row>
    <row r="99" spans="2:11" hidden="1">
      <c r="B99" s="119">
        <v>2021</v>
      </c>
      <c r="C99" s="133">
        <v>44256</v>
      </c>
      <c r="D99" t="s">
        <v>335</v>
      </c>
      <c r="E99">
        <v>10.4</v>
      </c>
      <c r="K99" s="113"/>
    </row>
    <row r="100" spans="2:11" hidden="1">
      <c r="B100" s="119">
        <v>2021</v>
      </c>
      <c r="C100" s="133">
        <v>44272</v>
      </c>
      <c r="D100" t="s">
        <v>252</v>
      </c>
      <c r="E100">
        <v>5.61</v>
      </c>
      <c r="K100" s="113"/>
    </row>
    <row r="101" spans="2:11" hidden="1">
      <c r="B101" s="119">
        <v>2021</v>
      </c>
      <c r="C101" s="133">
        <v>44287</v>
      </c>
      <c r="D101" t="s">
        <v>386</v>
      </c>
      <c r="E101">
        <v>2.1</v>
      </c>
      <c r="K101" s="113"/>
    </row>
    <row r="102" spans="2:11" hidden="1">
      <c r="B102" s="119">
        <v>2021</v>
      </c>
      <c r="C102" s="133">
        <v>44298</v>
      </c>
      <c r="D102" s="25" t="s">
        <v>387</v>
      </c>
      <c r="E102">
        <v>128.27000000000001</v>
      </c>
      <c r="K102" s="113"/>
    </row>
    <row r="103" spans="2:11" hidden="1">
      <c r="B103" s="119">
        <v>2021</v>
      </c>
      <c r="C103" s="133">
        <v>44300</v>
      </c>
      <c r="D103" t="s">
        <v>252</v>
      </c>
      <c r="E103">
        <v>3.46</v>
      </c>
      <c r="K103" s="113"/>
    </row>
    <row r="104" spans="2:11" hidden="1">
      <c r="B104" s="119">
        <v>2021</v>
      </c>
      <c r="C104" s="133">
        <v>44300</v>
      </c>
      <c r="D104" t="s">
        <v>335</v>
      </c>
      <c r="E104">
        <v>23.6</v>
      </c>
      <c r="K104" s="113"/>
    </row>
    <row r="105" spans="2:11" hidden="1">
      <c r="B105" s="119">
        <v>2021</v>
      </c>
      <c r="C105" s="133">
        <v>44309</v>
      </c>
      <c r="D105" t="s">
        <v>252</v>
      </c>
      <c r="E105">
        <v>3.46</v>
      </c>
      <c r="K105" s="113"/>
    </row>
    <row r="106" spans="2:11" hidden="1">
      <c r="B106" s="119">
        <v>2021</v>
      </c>
      <c r="C106" s="133">
        <v>44309</v>
      </c>
      <c r="D106" t="s">
        <v>335</v>
      </c>
      <c r="E106">
        <v>23.6</v>
      </c>
      <c r="K106" s="113"/>
    </row>
    <row r="107" spans="2:11" hidden="1">
      <c r="B107" s="119">
        <v>2021</v>
      </c>
      <c r="C107" s="133">
        <v>44312</v>
      </c>
      <c r="D107" t="s">
        <v>252</v>
      </c>
      <c r="E107">
        <v>3.46</v>
      </c>
      <c r="K107" s="113"/>
    </row>
    <row r="108" spans="2:11" hidden="1">
      <c r="B108" s="119">
        <v>2021</v>
      </c>
      <c r="C108" s="133">
        <v>44312</v>
      </c>
      <c r="D108" t="s">
        <v>335</v>
      </c>
      <c r="E108">
        <v>23.6</v>
      </c>
      <c r="K108" s="113"/>
    </row>
    <row r="109" spans="2:11" hidden="1">
      <c r="B109" s="119">
        <v>2021</v>
      </c>
      <c r="C109" s="133">
        <v>44315</v>
      </c>
      <c r="D109" t="s">
        <v>335</v>
      </c>
      <c r="E109">
        <v>206.02</v>
      </c>
      <c r="K109" s="113"/>
    </row>
    <row r="110" spans="2:11" hidden="1">
      <c r="B110" s="119">
        <v>2021</v>
      </c>
      <c r="C110" s="133">
        <v>44315</v>
      </c>
      <c r="D110" t="s">
        <v>335</v>
      </c>
      <c r="E110">
        <v>21.49</v>
      </c>
      <c r="K110" s="113"/>
    </row>
    <row r="111" spans="2:11" hidden="1">
      <c r="B111" s="119">
        <v>2021</v>
      </c>
      <c r="C111" s="133">
        <v>44329</v>
      </c>
      <c r="D111" t="s">
        <v>335</v>
      </c>
      <c r="E111">
        <v>10.4</v>
      </c>
      <c r="K111" s="113"/>
    </row>
    <row r="112" spans="2:11" hidden="1">
      <c r="B112" s="119">
        <v>2021</v>
      </c>
      <c r="C112" s="133">
        <v>44337</v>
      </c>
      <c r="D112" t="s">
        <v>252</v>
      </c>
      <c r="E112">
        <v>4.01</v>
      </c>
      <c r="K112" s="113"/>
    </row>
    <row r="113" spans="2:11" hidden="1">
      <c r="B113" s="119">
        <v>2021</v>
      </c>
      <c r="C113" s="133">
        <v>44337</v>
      </c>
      <c r="D113" t="s">
        <v>335</v>
      </c>
      <c r="E113">
        <v>2.41</v>
      </c>
      <c r="K113" s="113"/>
    </row>
    <row r="114" spans="2:11" hidden="1">
      <c r="B114" s="119">
        <v>2021</v>
      </c>
      <c r="C114" s="133">
        <v>44340</v>
      </c>
      <c r="D114" t="s">
        <v>398</v>
      </c>
      <c r="E114">
        <v>17.079999999999998</v>
      </c>
      <c r="K114" s="113"/>
    </row>
    <row r="115" spans="2:11" hidden="1">
      <c r="B115" s="119">
        <v>2021</v>
      </c>
      <c r="C115" s="133">
        <v>44340</v>
      </c>
      <c r="D115" t="s">
        <v>398</v>
      </c>
      <c r="E115">
        <v>17.079999999999998</v>
      </c>
      <c r="K115" s="113"/>
    </row>
    <row r="116" spans="2:11" hidden="1">
      <c r="B116" s="119">
        <v>2021</v>
      </c>
      <c r="C116" s="133">
        <v>44368</v>
      </c>
      <c r="D116" t="s">
        <v>335</v>
      </c>
      <c r="E116">
        <v>2.41</v>
      </c>
      <c r="K116" s="113"/>
    </row>
    <row r="117" spans="2:11" hidden="1">
      <c r="B117" s="119">
        <v>2021</v>
      </c>
      <c r="C117" s="133">
        <v>44375</v>
      </c>
      <c r="D117" t="s">
        <v>335</v>
      </c>
      <c r="E117">
        <v>13.97</v>
      </c>
      <c r="K117" s="113"/>
    </row>
    <row r="118" spans="2:11" hidden="1">
      <c r="B118" s="119">
        <v>2021</v>
      </c>
      <c r="C118" s="133">
        <v>44398</v>
      </c>
      <c r="D118" t="s">
        <v>335</v>
      </c>
      <c r="E118">
        <v>2.41</v>
      </c>
      <c r="K118" s="113"/>
    </row>
    <row r="119" spans="2:11" hidden="1">
      <c r="B119" s="119">
        <v>2021</v>
      </c>
      <c r="C119" s="133">
        <v>44421</v>
      </c>
      <c r="D119" t="s">
        <v>252</v>
      </c>
      <c r="E119">
        <v>0.85</v>
      </c>
      <c r="K119" s="113"/>
    </row>
    <row r="120" spans="2:11" hidden="1">
      <c r="B120" s="119">
        <v>2021</v>
      </c>
      <c r="C120" s="133">
        <v>44421</v>
      </c>
      <c r="D120" t="s">
        <v>252</v>
      </c>
      <c r="E120">
        <v>2.63</v>
      </c>
      <c r="K120" s="113"/>
    </row>
    <row r="121" spans="2:11" hidden="1">
      <c r="B121" s="119">
        <v>2021</v>
      </c>
      <c r="C121" s="133">
        <v>44421</v>
      </c>
      <c r="D121" t="s">
        <v>252</v>
      </c>
      <c r="E121">
        <v>0.69</v>
      </c>
      <c r="K121" s="113"/>
    </row>
    <row r="122" spans="2:11" hidden="1">
      <c r="B122" s="119">
        <v>2021</v>
      </c>
      <c r="C122" s="133">
        <v>44421</v>
      </c>
      <c r="D122" t="s">
        <v>252</v>
      </c>
      <c r="E122">
        <v>0.91</v>
      </c>
      <c r="K122" s="113"/>
    </row>
    <row r="123" spans="2:11" hidden="1">
      <c r="B123" s="119">
        <v>2021</v>
      </c>
      <c r="C123" s="133">
        <v>44434</v>
      </c>
      <c r="D123" t="s">
        <v>263</v>
      </c>
      <c r="E123">
        <v>10.43</v>
      </c>
      <c r="K123" s="113"/>
    </row>
    <row r="124" spans="2:11" hidden="1">
      <c r="B124" s="119">
        <v>2021</v>
      </c>
      <c r="C124" s="133">
        <v>44440</v>
      </c>
      <c r="D124" t="s">
        <v>424</v>
      </c>
      <c r="E124">
        <v>3.46</v>
      </c>
      <c r="K124" s="113"/>
    </row>
    <row r="125" spans="2:11" hidden="1">
      <c r="B125" s="119">
        <v>2021</v>
      </c>
      <c r="C125" s="133">
        <v>44440</v>
      </c>
      <c r="D125" t="s">
        <v>335</v>
      </c>
      <c r="E125">
        <v>23.6</v>
      </c>
      <c r="K125" s="113"/>
    </row>
    <row r="126" spans="2:11" hidden="1">
      <c r="B126" s="119">
        <v>2021</v>
      </c>
      <c r="C126" s="133">
        <v>44449</v>
      </c>
      <c r="D126" t="s">
        <v>301</v>
      </c>
      <c r="E126">
        <v>3.46</v>
      </c>
      <c r="K126" s="113"/>
    </row>
    <row r="127" spans="2:11" hidden="1">
      <c r="B127" s="119">
        <v>2021</v>
      </c>
      <c r="C127" s="133">
        <v>44449</v>
      </c>
      <c r="D127" t="s">
        <v>335</v>
      </c>
      <c r="E127">
        <v>23.6</v>
      </c>
      <c r="K127" s="113"/>
    </row>
    <row r="128" spans="2:11" hidden="1">
      <c r="B128" s="119">
        <v>2021</v>
      </c>
      <c r="C128" s="133">
        <v>44452</v>
      </c>
      <c r="D128" t="s">
        <v>335</v>
      </c>
      <c r="E128">
        <v>23.6</v>
      </c>
      <c r="K128" s="113"/>
    </row>
    <row r="129" spans="2:11" hidden="1">
      <c r="B129" s="119">
        <v>2021</v>
      </c>
      <c r="C129" s="133">
        <v>44453</v>
      </c>
      <c r="D129" t="s">
        <v>301</v>
      </c>
      <c r="E129">
        <v>3.46</v>
      </c>
      <c r="K129" s="113"/>
    </row>
    <row r="130" spans="2:11" hidden="1">
      <c r="B130" s="119">
        <v>2021</v>
      </c>
      <c r="C130" s="133">
        <v>44454</v>
      </c>
      <c r="D130" t="s">
        <v>335</v>
      </c>
      <c r="E130">
        <v>23.6</v>
      </c>
      <c r="K130" s="113"/>
    </row>
    <row r="131" spans="2:11" hidden="1">
      <c r="B131" s="119">
        <v>2021</v>
      </c>
      <c r="C131" s="133">
        <v>44455</v>
      </c>
      <c r="D131" t="s">
        <v>301</v>
      </c>
      <c r="E131">
        <v>3.46</v>
      </c>
      <c r="K131" s="113"/>
    </row>
    <row r="132" spans="2:11" hidden="1">
      <c r="B132" s="119">
        <v>2021</v>
      </c>
      <c r="C132" s="133">
        <v>44455</v>
      </c>
      <c r="D132" t="s">
        <v>335</v>
      </c>
      <c r="E132" s="60" t="s">
        <v>425</v>
      </c>
      <c r="K132" s="113"/>
    </row>
    <row r="133" spans="2:11" hidden="1">
      <c r="B133" s="119">
        <v>2021</v>
      </c>
      <c r="C133" s="133">
        <v>44457</v>
      </c>
      <c r="D133" t="s">
        <v>358</v>
      </c>
      <c r="E133">
        <v>55.55</v>
      </c>
      <c r="K133" s="113"/>
    </row>
    <row r="134" spans="2:11" hidden="1">
      <c r="B134" s="119">
        <v>2021</v>
      </c>
      <c r="C134" s="133">
        <v>44457</v>
      </c>
      <c r="D134" t="s">
        <v>335</v>
      </c>
      <c r="E134">
        <v>21.49</v>
      </c>
      <c r="K134" s="113"/>
    </row>
    <row r="135" spans="2:11" hidden="1">
      <c r="B135" s="119">
        <v>2021</v>
      </c>
      <c r="C135" s="133">
        <v>44463</v>
      </c>
      <c r="D135" t="s">
        <v>263</v>
      </c>
      <c r="E135">
        <v>26.76</v>
      </c>
      <c r="K135" s="113"/>
    </row>
    <row r="136" spans="2:11" hidden="1">
      <c r="B136" s="119">
        <v>2021</v>
      </c>
      <c r="C136" s="133">
        <v>44469</v>
      </c>
      <c r="D136" t="s">
        <v>335</v>
      </c>
      <c r="E136">
        <v>10.4</v>
      </c>
      <c r="K136" s="113"/>
    </row>
    <row r="137" spans="2:11" hidden="1">
      <c r="B137" s="119">
        <v>2021</v>
      </c>
      <c r="C137" s="133">
        <v>44470</v>
      </c>
      <c r="D137" t="s">
        <v>263</v>
      </c>
      <c r="E137">
        <v>71.73</v>
      </c>
      <c r="K137" s="113"/>
    </row>
    <row r="138" spans="2:11" hidden="1">
      <c r="B138" s="119">
        <v>2021</v>
      </c>
      <c r="C138" s="133">
        <v>44473</v>
      </c>
      <c r="D138" t="s">
        <v>426</v>
      </c>
      <c r="E138">
        <v>10.94</v>
      </c>
      <c r="K138" s="113"/>
    </row>
    <row r="139" spans="2:11" hidden="1">
      <c r="B139" s="119">
        <v>2021</v>
      </c>
      <c r="C139" s="133">
        <v>44474</v>
      </c>
      <c r="D139" t="s">
        <v>263</v>
      </c>
      <c r="E139">
        <v>8.06</v>
      </c>
      <c r="K139" s="113"/>
    </row>
    <row r="140" spans="2:11" hidden="1">
      <c r="B140" s="119">
        <v>2021</v>
      </c>
      <c r="C140" s="133">
        <v>44483</v>
      </c>
      <c r="D140" t="s">
        <v>335</v>
      </c>
      <c r="E140">
        <v>25.75</v>
      </c>
      <c r="K140" s="113"/>
    </row>
    <row r="141" spans="2:11" hidden="1">
      <c r="B141" s="119">
        <v>2021</v>
      </c>
      <c r="C141" s="133">
        <v>44487</v>
      </c>
      <c r="D141" t="s">
        <v>301</v>
      </c>
      <c r="E141">
        <v>3.46</v>
      </c>
      <c r="K141" s="113"/>
    </row>
    <row r="142" spans="2:11" hidden="1">
      <c r="B142" s="119">
        <v>2021</v>
      </c>
      <c r="C142" s="133">
        <v>44487</v>
      </c>
      <c r="D142" t="s">
        <v>335</v>
      </c>
      <c r="E142">
        <v>23.6</v>
      </c>
      <c r="K142" s="113"/>
    </row>
    <row r="143" spans="2:11" hidden="1">
      <c r="B143" s="119">
        <v>2021</v>
      </c>
      <c r="C143" s="133">
        <v>44495</v>
      </c>
      <c r="D143" t="s">
        <v>301</v>
      </c>
      <c r="E143">
        <v>3.46</v>
      </c>
      <c r="K143" s="113"/>
    </row>
    <row r="144" spans="2:11" hidden="1">
      <c r="B144" s="119">
        <v>2021</v>
      </c>
      <c r="C144" s="133">
        <v>44501</v>
      </c>
      <c r="D144" t="s">
        <v>252</v>
      </c>
      <c r="E144">
        <v>3.46</v>
      </c>
      <c r="K144" s="113"/>
    </row>
    <row r="145" spans="2:11" hidden="1">
      <c r="B145" s="119">
        <v>2021</v>
      </c>
      <c r="C145" s="133">
        <v>44501</v>
      </c>
      <c r="D145" t="s">
        <v>335</v>
      </c>
      <c r="E145" s="60" t="s">
        <v>425</v>
      </c>
      <c r="K145" s="113"/>
    </row>
    <row r="146" spans="2:11" hidden="1">
      <c r="B146" s="119">
        <v>2021</v>
      </c>
      <c r="C146" s="133">
        <v>44501</v>
      </c>
      <c r="D146" t="s">
        <v>252</v>
      </c>
      <c r="E146">
        <v>5.25</v>
      </c>
      <c r="K146" s="113"/>
    </row>
    <row r="147" spans="2:11" hidden="1">
      <c r="B147" s="119">
        <v>2021</v>
      </c>
      <c r="C147" s="133">
        <v>44510</v>
      </c>
      <c r="D147" t="s">
        <v>335</v>
      </c>
      <c r="E147">
        <v>38.86</v>
      </c>
      <c r="K147" s="113"/>
    </row>
    <row r="148" spans="2:11" hidden="1">
      <c r="B148" s="119">
        <v>2021</v>
      </c>
      <c r="C148" s="133">
        <v>44550</v>
      </c>
      <c r="D148" t="s">
        <v>426</v>
      </c>
      <c r="E148">
        <v>2.59</v>
      </c>
      <c r="K148" s="113"/>
    </row>
    <row r="149" spans="2:11" hidden="1">
      <c r="B149" s="119">
        <v>2021</v>
      </c>
      <c r="C149" s="133">
        <v>44550</v>
      </c>
      <c r="D149" t="s">
        <v>426</v>
      </c>
      <c r="E149">
        <v>3.69</v>
      </c>
      <c r="K149" s="113"/>
    </row>
    <row r="150" spans="2:11" hidden="1">
      <c r="B150" s="119">
        <v>2021</v>
      </c>
      <c r="C150" s="133">
        <v>44550</v>
      </c>
      <c r="D150" t="s">
        <v>426</v>
      </c>
      <c r="E150">
        <v>1.1599999999999999</v>
      </c>
      <c r="K150" s="113"/>
    </row>
    <row r="151" spans="2:11" hidden="1">
      <c r="B151" s="119">
        <v>2021</v>
      </c>
      <c r="C151" s="133">
        <v>44550</v>
      </c>
      <c r="D151" t="s">
        <v>426</v>
      </c>
      <c r="E151">
        <v>1.29</v>
      </c>
      <c r="K151" s="113"/>
    </row>
    <row r="152" spans="2:11" hidden="1">
      <c r="B152" s="119">
        <v>2021</v>
      </c>
      <c r="C152" s="133">
        <v>44550</v>
      </c>
      <c r="D152" t="s">
        <v>252</v>
      </c>
      <c r="E152">
        <v>0.76</v>
      </c>
      <c r="K152" s="113"/>
    </row>
    <row r="153" spans="2:11" hidden="1">
      <c r="B153" s="119">
        <v>2021</v>
      </c>
      <c r="C153" s="133">
        <v>44550</v>
      </c>
      <c r="D153" t="s">
        <v>252</v>
      </c>
      <c r="E153">
        <v>2.5299999999999998</v>
      </c>
      <c r="K153" s="113"/>
    </row>
    <row r="154" spans="2:11" hidden="1">
      <c r="B154" s="119">
        <v>2021</v>
      </c>
      <c r="C154" s="133">
        <v>44551</v>
      </c>
      <c r="D154" t="s">
        <v>252</v>
      </c>
      <c r="E154">
        <v>3.46</v>
      </c>
      <c r="K154" s="113"/>
    </row>
    <row r="155" spans="2:11" hidden="1">
      <c r="B155" s="119">
        <v>2021</v>
      </c>
      <c r="C155" s="133">
        <v>44551</v>
      </c>
      <c r="D155" t="s">
        <v>335</v>
      </c>
      <c r="E155">
        <v>23.6</v>
      </c>
      <c r="K155" s="113"/>
    </row>
    <row r="156" spans="2:11" hidden="1">
      <c r="B156" s="119">
        <v>2021</v>
      </c>
      <c r="C156" s="133">
        <v>44559</v>
      </c>
      <c r="D156" t="s">
        <v>252</v>
      </c>
      <c r="E156">
        <v>3.46</v>
      </c>
      <c r="K156" s="113"/>
    </row>
    <row r="157" spans="2:11" ht="19" hidden="1">
      <c r="B157" s="245">
        <v>2022</v>
      </c>
      <c r="C157" s="246">
        <v>44565</v>
      </c>
      <c r="D157" s="145" t="s">
        <v>252</v>
      </c>
      <c r="E157" s="145">
        <v>34.57</v>
      </c>
      <c r="F157" s="145"/>
      <c r="G157" s="145"/>
      <c r="H157" s="145"/>
      <c r="I157" s="145"/>
      <c r="J157" s="145"/>
      <c r="K157" s="247"/>
    </row>
    <row r="158" spans="2:11" ht="19" hidden="1">
      <c r="B158" s="245">
        <v>2022</v>
      </c>
      <c r="C158" s="246">
        <v>44565</v>
      </c>
      <c r="D158" s="145" t="s">
        <v>335</v>
      </c>
      <c r="E158" s="145">
        <v>236.05</v>
      </c>
      <c r="F158" s="145"/>
      <c r="G158" s="145"/>
      <c r="H158" s="145"/>
      <c r="I158" s="145"/>
      <c r="J158" s="145"/>
      <c r="K158" s="247"/>
    </row>
    <row r="159" spans="2:11" ht="19" hidden="1">
      <c r="B159" s="245">
        <v>2022</v>
      </c>
      <c r="C159" s="246">
        <v>44572</v>
      </c>
      <c r="D159" s="145" t="s">
        <v>335</v>
      </c>
      <c r="E159" s="145">
        <v>954.65</v>
      </c>
      <c r="F159" s="145"/>
      <c r="G159" s="145"/>
      <c r="H159" s="145"/>
      <c r="I159" s="145"/>
      <c r="J159" s="145"/>
      <c r="K159" s="247"/>
    </row>
    <row r="160" spans="2:11" ht="19" hidden="1">
      <c r="B160" s="245">
        <v>2022</v>
      </c>
      <c r="C160" s="246">
        <v>44582</v>
      </c>
      <c r="D160" s="145" t="s">
        <v>252</v>
      </c>
      <c r="E160" s="145">
        <v>25.44</v>
      </c>
      <c r="F160" s="145"/>
      <c r="G160" s="145"/>
      <c r="H160" s="145"/>
      <c r="I160" s="145"/>
      <c r="J160" s="145"/>
      <c r="K160" s="247"/>
    </row>
    <row r="161" spans="2:11" ht="19" hidden="1">
      <c r="B161" s="245">
        <v>2022</v>
      </c>
      <c r="C161" s="246">
        <v>44595</v>
      </c>
      <c r="D161" s="145" t="s">
        <v>335</v>
      </c>
      <c r="E161" s="145">
        <v>104.05</v>
      </c>
      <c r="F161" s="145"/>
      <c r="G161" s="145"/>
      <c r="H161" s="145"/>
      <c r="I161" s="145"/>
      <c r="J161" s="145"/>
      <c r="K161" s="247"/>
    </row>
    <row r="162" spans="2:11" ht="19" hidden="1">
      <c r="B162" s="245">
        <v>2022</v>
      </c>
      <c r="C162" s="246">
        <v>44631</v>
      </c>
      <c r="D162" s="145" t="s">
        <v>252</v>
      </c>
      <c r="E162" s="145">
        <v>45.23</v>
      </c>
      <c r="F162" s="145"/>
      <c r="G162" s="145"/>
      <c r="H162" s="145"/>
      <c r="I162" s="145"/>
      <c r="J162" s="145"/>
      <c r="K162" s="247"/>
    </row>
    <row r="163" spans="2:11" ht="19" hidden="1">
      <c r="B163" s="245">
        <v>2022</v>
      </c>
      <c r="C163" s="246">
        <v>44637</v>
      </c>
      <c r="D163" s="145" t="s">
        <v>263</v>
      </c>
      <c r="E163" s="145">
        <v>80.66</v>
      </c>
      <c r="F163" s="145"/>
      <c r="G163" s="145"/>
      <c r="H163" s="145"/>
      <c r="I163" s="145"/>
      <c r="J163" s="145"/>
      <c r="K163" s="247"/>
    </row>
    <row r="164" spans="2:11" ht="19" hidden="1">
      <c r="B164" s="245">
        <v>2022</v>
      </c>
      <c r="C164" s="246">
        <v>44650</v>
      </c>
      <c r="D164" s="145" t="s">
        <v>335</v>
      </c>
      <c r="E164" s="145">
        <v>233.05</v>
      </c>
      <c r="F164" s="145"/>
      <c r="G164" s="145"/>
      <c r="H164" s="145"/>
      <c r="I164" s="145"/>
      <c r="J164" s="145"/>
      <c r="K164" s="247"/>
    </row>
    <row r="165" spans="2:11" ht="19" hidden="1">
      <c r="B165" s="245">
        <v>2022</v>
      </c>
      <c r="C165" s="246">
        <v>44669</v>
      </c>
      <c r="D165" s="145" t="s">
        <v>263</v>
      </c>
      <c r="E165" s="145">
        <v>13.32</v>
      </c>
      <c r="F165" s="145"/>
      <c r="G165" s="145"/>
      <c r="H165" s="145"/>
      <c r="I165" s="145"/>
      <c r="J165" s="145"/>
      <c r="K165" s="247"/>
    </row>
    <row r="166" spans="2:11" ht="19" hidden="1">
      <c r="B166" s="245">
        <v>2022</v>
      </c>
      <c r="C166" s="246">
        <v>44683</v>
      </c>
      <c r="D166" s="145" t="s">
        <v>335</v>
      </c>
      <c r="E166" s="145">
        <v>233.05</v>
      </c>
      <c r="F166" s="145"/>
      <c r="G166" s="145"/>
      <c r="H166" s="145"/>
      <c r="I166" s="145"/>
      <c r="J166" s="145"/>
      <c r="K166" s="247"/>
    </row>
    <row r="167" spans="2:11" ht="19" hidden="1">
      <c r="B167" s="245">
        <v>2022</v>
      </c>
      <c r="C167" s="246">
        <v>44719</v>
      </c>
      <c r="D167" s="145" t="s">
        <v>447</v>
      </c>
      <c r="E167" s="145">
        <v>73.8</v>
      </c>
      <c r="F167" s="145"/>
      <c r="G167" s="145"/>
      <c r="H167" s="145"/>
      <c r="I167" s="145"/>
      <c r="J167" s="145"/>
      <c r="K167" s="247"/>
    </row>
    <row r="168" spans="2:11" ht="19" hidden="1">
      <c r="B168" s="245">
        <v>2022</v>
      </c>
      <c r="C168" s="246">
        <v>44719</v>
      </c>
      <c r="D168" s="145" t="s">
        <v>335</v>
      </c>
      <c r="E168" s="145">
        <v>233.05</v>
      </c>
      <c r="F168" s="145"/>
      <c r="G168" s="145"/>
      <c r="H168" s="145"/>
      <c r="I168" s="145"/>
      <c r="J168" s="145"/>
      <c r="K168" s="247"/>
    </row>
    <row r="169" spans="2:11" ht="19" hidden="1">
      <c r="B169" s="245">
        <v>2022</v>
      </c>
      <c r="C169" s="246">
        <v>44749</v>
      </c>
      <c r="D169" s="145" t="s">
        <v>335</v>
      </c>
      <c r="E169" s="145">
        <v>233.05</v>
      </c>
      <c r="F169" s="145"/>
      <c r="G169" s="145"/>
      <c r="H169" s="145"/>
      <c r="I169" s="145"/>
      <c r="J169" s="145"/>
      <c r="K169" s="247"/>
    </row>
    <row r="170" spans="2:11" ht="19" hidden="1">
      <c r="B170" s="245">
        <v>2022</v>
      </c>
      <c r="C170" s="246">
        <v>44750</v>
      </c>
      <c r="D170" s="145" t="s">
        <v>467</v>
      </c>
      <c r="E170" s="145">
        <v>74.52</v>
      </c>
      <c r="F170" s="145"/>
      <c r="G170" s="145"/>
      <c r="H170" s="145"/>
      <c r="I170" s="145"/>
      <c r="J170" s="145"/>
      <c r="K170" s="247"/>
    </row>
    <row r="171" spans="2:11" ht="19" hidden="1">
      <c r="B171" s="245">
        <v>2022</v>
      </c>
      <c r="C171" s="246">
        <v>44771</v>
      </c>
      <c r="D171" s="145" t="s">
        <v>467</v>
      </c>
      <c r="E171" s="145">
        <v>14.79</v>
      </c>
      <c r="F171" s="145"/>
      <c r="G171" s="145"/>
      <c r="H171" s="145"/>
      <c r="I171" s="145"/>
      <c r="J171" s="145"/>
      <c r="K171" s="247"/>
    </row>
    <row r="172" spans="2:11" ht="19" hidden="1">
      <c r="B172" s="245">
        <v>2022</v>
      </c>
      <c r="C172" s="246">
        <v>44784</v>
      </c>
      <c r="D172" s="145" t="s">
        <v>467</v>
      </c>
      <c r="E172" s="145">
        <v>34.57</v>
      </c>
      <c r="F172" s="145"/>
      <c r="G172" s="145"/>
      <c r="H172" s="145"/>
      <c r="I172" s="145"/>
      <c r="J172" s="145"/>
      <c r="K172" s="247"/>
    </row>
    <row r="173" spans="2:11" ht="19" hidden="1">
      <c r="B173" s="245">
        <v>2022</v>
      </c>
      <c r="C173" s="246">
        <v>44784</v>
      </c>
      <c r="D173" s="145" t="s">
        <v>335</v>
      </c>
      <c r="E173" s="145">
        <v>233.05</v>
      </c>
      <c r="F173" s="145"/>
      <c r="G173" s="145"/>
      <c r="H173" s="145"/>
      <c r="I173" s="145"/>
      <c r="J173" s="145"/>
      <c r="K173" s="247"/>
    </row>
    <row r="174" spans="2:11" ht="19" hidden="1">
      <c r="B174" s="248">
        <v>2022</v>
      </c>
      <c r="C174" s="249">
        <v>44798</v>
      </c>
      <c r="D174" s="250" t="s">
        <v>335</v>
      </c>
      <c r="E174" s="250">
        <v>233.05</v>
      </c>
      <c r="F174" s="250"/>
      <c r="G174" s="250"/>
      <c r="H174" s="250"/>
      <c r="I174" s="250"/>
      <c r="J174" s="250"/>
      <c r="K174" s="251"/>
    </row>
    <row r="175" spans="2:11" ht="19" hidden="1">
      <c r="B175" s="248">
        <v>2022</v>
      </c>
      <c r="C175" s="252">
        <v>44804</v>
      </c>
      <c r="D175" s="145" t="s">
        <v>252</v>
      </c>
      <c r="E175" s="145">
        <v>7.96</v>
      </c>
      <c r="F175" s="145"/>
      <c r="G175" s="145"/>
      <c r="H175" s="145"/>
      <c r="I175" s="145"/>
      <c r="J175" s="145"/>
      <c r="K175" s="145"/>
    </row>
    <row r="176" spans="2:11" ht="19" hidden="1">
      <c r="B176" s="245">
        <v>2022</v>
      </c>
      <c r="C176" s="246">
        <v>44808</v>
      </c>
      <c r="D176" s="145" t="s">
        <v>471</v>
      </c>
      <c r="E176" s="253">
        <v>131</v>
      </c>
      <c r="F176" s="145"/>
      <c r="G176" s="145" t="s">
        <v>604</v>
      </c>
      <c r="H176" s="145" t="s">
        <v>313</v>
      </c>
      <c r="I176" s="145"/>
      <c r="J176" s="145"/>
      <c r="K176" s="145"/>
    </row>
    <row r="177" spans="2:11" ht="19" hidden="1">
      <c r="B177" s="245">
        <v>2022</v>
      </c>
      <c r="C177" s="246">
        <v>44896</v>
      </c>
      <c r="D177" s="145" t="s">
        <v>426</v>
      </c>
      <c r="E177" s="253">
        <v>63.31</v>
      </c>
      <c r="F177" s="145"/>
      <c r="G177" s="145" t="s">
        <v>604</v>
      </c>
      <c r="H177" s="145" t="s">
        <v>313</v>
      </c>
      <c r="I177" s="145"/>
      <c r="J177" s="145"/>
      <c r="K177" s="145"/>
    </row>
    <row r="178" spans="2:11" ht="19">
      <c r="B178" s="248">
        <v>2023</v>
      </c>
      <c r="C178" s="254" t="s">
        <v>590</v>
      </c>
      <c r="D178" s="145" t="s">
        <v>591</v>
      </c>
      <c r="E178" s="253">
        <v>84.53</v>
      </c>
      <c r="F178" s="145"/>
      <c r="G178" s="145" t="s">
        <v>604</v>
      </c>
      <c r="H178" s="145" t="s">
        <v>313</v>
      </c>
      <c r="I178" s="145"/>
      <c r="J178" s="145"/>
      <c r="K178" s="145"/>
    </row>
    <row r="179" spans="2:11" ht="19">
      <c r="B179" s="248">
        <v>2023</v>
      </c>
      <c r="C179" s="254" t="s">
        <v>592</v>
      </c>
      <c r="D179" s="145" t="s">
        <v>594</v>
      </c>
      <c r="E179" s="253">
        <v>31.63</v>
      </c>
      <c r="F179" s="145"/>
      <c r="G179" s="145" t="s">
        <v>604</v>
      </c>
      <c r="H179" s="145" t="s">
        <v>608</v>
      </c>
      <c r="I179" s="145" t="s">
        <v>606</v>
      </c>
      <c r="J179" s="145"/>
      <c r="K179" s="145"/>
    </row>
    <row r="180" spans="2:11" ht="19">
      <c r="B180" s="248">
        <v>2023</v>
      </c>
      <c r="C180" s="254" t="s">
        <v>592</v>
      </c>
      <c r="D180" s="145" t="s">
        <v>595</v>
      </c>
      <c r="E180" s="253">
        <v>212.38</v>
      </c>
      <c r="F180" s="145"/>
      <c r="G180" s="145" t="s">
        <v>604</v>
      </c>
      <c r="H180" s="145" t="s">
        <v>313</v>
      </c>
      <c r="I180" s="145"/>
      <c r="J180" s="145"/>
      <c r="K180" s="145"/>
    </row>
    <row r="181" spans="2:11" ht="19">
      <c r="B181" s="248">
        <v>2023</v>
      </c>
      <c r="C181" s="254" t="s">
        <v>592</v>
      </c>
      <c r="D181" s="145" t="s">
        <v>591</v>
      </c>
      <c r="E181" s="253">
        <v>331.2</v>
      </c>
      <c r="F181" s="145"/>
      <c r="G181" s="145" t="s">
        <v>604</v>
      </c>
      <c r="H181" s="145" t="s">
        <v>313</v>
      </c>
      <c r="I181" s="145"/>
      <c r="J181" s="145"/>
      <c r="K181" s="145"/>
    </row>
    <row r="182" spans="2:11" ht="19">
      <c r="B182" s="248">
        <v>2023</v>
      </c>
      <c r="C182" s="254" t="s">
        <v>592</v>
      </c>
      <c r="D182" s="145" t="s">
        <v>593</v>
      </c>
      <c r="E182" s="253">
        <v>605</v>
      </c>
      <c r="F182" s="145"/>
      <c r="G182" s="145" t="s">
        <v>604</v>
      </c>
      <c r="H182" s="145" t="s">
        <v>313</v>
      </c>
      <c r="I182" s="145"/>
      <c r="J182" s="145"/>
      <c r="K182" s="145"/>
    </row>
    <row r="183" spans="2:11" ht="19">
      <c r="B183" s="248">
        <v>2023</v>
      </c>
      <c r="C183" s="254" t="s">
        <v>597</v>
      </c>
      <c r="D183" s="145" t="s">
        <v>596</v>
      </c>
      <c r="E183" s="253">
        <v>86.15</v>
      </c>
      <c r="F183" s="145"/>
      <c r="G183" s="145" t="s">
        <v>604</v>
      </c>
      <c r="H183" s="145" t="s">
        <v>313</v>
      </c>
      <c r="I183" s="145"/>
      <c r="J183" s="145"/>
      <c r="K183" s="145"/>
    </row>
    <row r="184" spans="2:11" ht="19">
      <c r="B184" s="248">
        <v>2023</v>
      </c>
      <c r="C184" s="254" t="s">
        <v>609</v>
      </c>
      <c r="D184" s="255" t="s">
        <v>610</v>
      </c>
      <c r="E184" s="253">
        <v>79</v>
      </c>
      <c r="F184" s="145"/>
      <c r="G184" s="145" t="s">
        <v>605</v>
      </c>
      <c r="H184" s="145" t="s">
        <v>313</v>
      </c>
      <c r="I184" s="145"/>
      <c r="J184" s="145"/>
      <c r="K184" s="145"/>
    </row>
    <row r="185" spans="2:11" ht="19">
      <c r="B185" s="248">
        <v>2023</v>
      </c>
      <c r="C185" s="254" t="s">
        <v>611</v>
      </c>
      <c r="D185" s="255" t="s">
        <v>613</v>
      </c>
      <c r="E185" s="253">
        <v>287</v>
      </c>
      <c r="F185" s="145"/>
      <c r="G185" s="145" t="s">
        <v>604</v>
      </c>
      <c r="H185" s="145" t="s">
        <v>313</v>
      </c>
      <c r="I185" s="145"/>
      <c r="J185" s="145"/>
      <c r="K185" s="145"/>
    </row>
    <row r="186" spans="2:11" ht="19">
      <c r="B186" s="248">
        <v>2023</v>
      </c>
      <c r="C186" s="254" t="s">
        <v>598</v>
      </c>
      <c r="D186" s="145" t="s">
        <v>599</v>
      </c>
      <c r="E186" s="253">
        <v>73.8</v>
      </c>
      <c r="F186" s="145"/>
      <c r="G186" s="145" t="s">
        <v>605</v>
      </c>
      <c r="H186" s="145" t="s">
        <v>313</v>
      </c>
      <c r="I186" s="145"/>
      <c r="J186" s="145"/>
      <c r="K186" s="145"/>
    </row>
    <row r="187" spans="2:11" ht="19">
      <c r="B187" s="248">
        <v>2023</v>
      </c>
      <c r="C187" s="254" t="s">
        <v>598</v>
      </c>
      <c r="D187" s="145" t="s">
        <v>599</v>
      </c>
      <c r="E187" s="253">
        <v>56.6</v>
      </c>
      <c r="F187" s="145"/>
      <c r="G187" s="145" t="s">
        <v>605</v>
      </c>
      <c r="H187" s="145" t="s">
        <v>313</v>
      </c>
      <c r="I187" s="145"/>
      <c r="J187" s="145"/>
      <c r="K187" s="145"/>
    </row>
    <row r="188" spans="2:11" ht="19">
      <c r="B188" s="248">
        <v>2023</v>
      </c>
      <c r="C188" s="254" t="s">
        <v>600</v>
      </c>
      <c r="D188" s="145" t="s">
        <v>616</v>
      </c>
      <c r="E188" s="253">
        <v>142.55000000000001</v>
      </c>
      <c r="F188" s="145"/>
      <c r="G188" s="145" t="s">
        <v>605</v>
      </c>
      <c r="H188" s="145" t="s">
        <v>313</v>
      </c>
      <c r="I188" s="145"/>
      <c r="J188" s="145"/>
      <c r="K188" s="145"/>
    </row>
    <row r="189" spans="2:11" ht="19">
      <c r="B189" s="248">
        <v>2023</v>
      </c>
      <c r="C189" s="254" t="s">
        <v>602</v>
      </c>
      <c r="D189" s="145" t="s">
        <v>601</v>
      </c>
      <c r="E189" s="253">
        <v>436.7</v>
      </c>
      <c r="F189" s="145"/>
      <c r="G189" s="145" t="s">
        <v>605</v>
      </c>
      <c r="H189" s="145" t="s">
        <v>313</v>
      </c>
      <c r="I189" s="145"/>
      <c r="J189" s="145"/>
      <c r="K189" s="145"/>
    </row>
    <row r="190" spans="2:11" ht="19">
      <c r="B190" s="248">
        <v>2023</v>
      </c>
      <c r="C190" s="254" t="s">
        <v>612</v>
      </c>
      <c r="D190" s="255" t="s">
        <v>610</v>
      </c>
      <c r="E190" s="253">
        <v>51</v>
      </c>
      <c r="F190" s="145"/>
      <c r="G190" s="145" t="s">
        <v>605</v>
      </c>
      <c r="H190" s="145" t="s">
        <v>313</v>
      </c>
      <c r="I190" s="145"/>
      <c r="J190" s="145"/>
      <c r="K190" s="145"/>
    </row>
    <row r="191" spans="2:11" ht="19">
      <c r="B191" s="248">
        <v>2023</v>
      </c>
      <c r="C191" s="254" t="s">
        <v>624</v>
      </c>
      <c r="D191" s="145" t="s">
        <v>623</v>
      </c>
      <c r="E191" s="156">
        <v>523.01</v>
      </c>
      <c r="F191" s="145"/>
      <c r="G191" s="145" t="s">
        <v>605</v>
      </c>
      <c r="H191" s="145"/>
      <c r="I191" s="145"/>
      <c r="J191" s="145"/>
      <c r="K191" s="145"/>
    </row>
    <row r="192" spans="2:11" ht="19">
      <c r="B192" s="248">
        <v>2023</v>
      </c>
      <c r="C192" s="254" t="s">
        <v>603</v>
      </c>
      <c r="D192" s="145" t="s">
        <v>601</v>
      </c>
      <c r="E192" s="253">
        <v>564.27</v>
      </c>
      <c r="F192" s="145"/>
      <c r="G192" s="145" t="s">
        <v>605</v>
      </c>
      <c r="H192" s="145" t="s">
        <v>313</v>
      </c>
      <c r="I192" s="145"/>
      <c r="J192" s="145"/>
      <c r="K192" s="145"/>
    </row>
    <row r="193" spans="2:8" ht="19">
      <c r="B193" s="245">
        <v>2023</v>
      </c>
      <c r="C193" s="254" t="s">
        <v>614</v>
      </c>
      <c r="D193" s="145" t="s">
        <v>467</v>
      </c>
      <c r="E193" s="156">
        <v>5.5</v>
      </c>
      <c r="G193" s="145" t="s">
        <v>605</v>
      </c>
    </row>
    <row r="194" spans="2:8" ht="19">
      <c r="B194" s="245">
        <v>2023</v>
      </c>
      <c r="C194" s="254" t="s">
        <v>614</v>
      </c>
      <c r="D194" s="145" t="s">
        <v>623</v>
      </c>
      <c r="E194" s="156">
        <v>523.01</v>
      </c>
      <c r="G194" s="145" t="s">
        <v>626</v>
      </c>
    </row>
    <row r="195" spans="2:8" ht="19">
      <c r="B195" s="245">
        <v>2023</v>
      </c>
      <c r="C195" s="254" t="s">
        <v>615</v>
      </c>
      <c r="D195" s="145" t="s">
        <v>616</v>
      </c>
      <c r="E195" s="253">
        <v>114.65</v>
      </c>
      <c r="G195" s="145" t="s">
        <v>605</v>
      </c>
      <c r="H195" s="145" t="s">
        <v>313</v>
      </c>
    </row>
    <row r="196" spans="2:8" ht="19">
      <c r="B196" s="245">
        <v>2023</v>
      </c>
      <c r="C196" s="254" t="s">
        <v>615</v>
      </c>
      <c r="D196" s="145" t="s">
        <v>623</v>
      </c>
      <c r="E196" s="156">
        <v>523.01</v>
      </c>
      <c r="G196" s="145" t="s">
        <v>605</v>
      </c>
      <c r="H196" s="145"/>
    </row>
    <row r="197" spans="2:8" ht="19">
      <c r="B197" s="245">
        <v>2023</v>
      </c>
      <c r="C197" s="202" t="s">
        <v>621</v>
      </c>
      <c r="D197" s="145" t="s">
        <v>599</v>
      </c>
      <c r="E197" s="253">
        <v>54.36</v>
      </c>
      <c r="G197" s="145" t="s">
        <v>605</v>
      </c>
      <c r="H197" s="145" t="s">
        <v>313</v>
      </c>
    </row>
    <row r="198" spans="2:8" ht="19">
      <c r="B198" s="245">
        <v>2023</v>
      </c>
      <c r="C198" s="202" t="s">
        <v>621</v>
      </c>
      <c r="D198" s="145" t="s">
        <v>252</v>
      </c>
      <c r="E198" s="156">
        <v>9.49</v>
      </c>
    </row>
    <row r="199" spans="2:8" ht="19">
      <c r="B199" s="245">
        <v>2023</v>
      </c>
      <c r="C199" s="202" t="s">
        <v>621</v>
      </c>
      <c r="D199" s="145" t="s">
        <v>252</v>
      </c>
      <c r="E199" s="156">
        <v>18.28</v>
      </c>
    </row>
    <row r="200" spans="2:8" ht="19">
      <c r="B200" s="245">
        <v>2023</v>
      </c>
      <c r="C200" s="202" t="s">
        <v>621</v>
      </c>
      <c r="D200" s="145" t="s">
        <v>252</v>
      </c>
      <c r="E200" s="156">
        <v>10.67</v>
      </c>
    </row>
    <row r="201" spans="2:8" ht="19" hidden="1">
      <c r="B201" s="245">
        <v>2024</v>
      </c>
      <c r="C201" s="202" t="s">
        <v>625</v>
      </c>
      <c r="D201" s="145" t="s">
        <v>623</v>
      </c>
      <c r="E201" s="156">
        <v>522.99</v>
      </c>
      <c r="G201" s="145" t="s">
        <v>605</v>
      </c>
    </row>
    <row r="202" spans="2:8" ht="19" hidden="1">
      <c r="B202" s="245">
        <v>2024</v>
      </c>
      <c r="C202" s="202" t="s">
        <v>633</v>
      </c>
      <c r="D202" s="145" t="s">
        <v>601</v>
      </c>
      <c r="E202" s="253">
        <v>157.16999999999999</v>
      </c>
      <c r="G202" t="s">
        <v>605</v>
      </c>
      <c r="H202" t="s">
        <v>634</v>
      </c>
    </row>
    <row r="203" spans="2:8" ht="19" hidden="1">
      <c r="B203" s="245">
        <v>2024</v>
      </c>
      <c r="C203" s="202" t="s">
        <v>635</v>
      </c>
      <c r="D203" s="145" t="s">
        <v>252</v>
      </c>
      <c r="E203" s="156">
        <v>30.19</v>
      </c>
      <c r="G203" t="s">
        <v>605</v>
      </c>
    </row>
    <row r="204" spans="2:8" ht="19" hidden="1">
      <c r="B204" s="245">
        <v>2024</v>
      </c>
      <c r="C204" s="202" t="s">
        <v>636</v>
      </c>
      <c r="D204" s="145" t="s">
        <v>637</v>
      </c>
      <c r="E204" s="156">
        <v>19.25</v>
      </c>
    </row>
    <row r="205" spans="2:8" ht="19" hidden="1">
      <c r="B205" s="245">
        <v>2024</v>
      </c>
      <c r="C205" s="202" t="s">
        <v>638</v>
      </c>
      <c r="D205" s="145" t="s">
        <v>639</v>
      </c>
      <c r="E205" s="156">
        <v>9.06</v>
      </c>
    </row>
  </sheetData>
  <autoFilter ref="B6:L205" xr:uid="{87C93235-86B0-E44A-B035-D54CB53ACE56}">
    <filterColumn colId="0">
      <filters>
        <filter val="2023"/>
      </filters>
    </filterColumn>
  </autoFilter>
  <mergeCells count="2">
    <mergeCell ref="I7:I9"/>
    <mergeCell ref="I11:I13"/>
  </mergeCells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4C8E8-223A-D349-83F0-87456D7FB6AB}">
  <dimension ref="B10:M91"/>
  <sheetViews>
    <sheetView tabSelected="1" topLeftCell="A25" workbookViewId="0">
      <selection activeCell="F47" sqref="F47"/>
    </sheetView>
  </sheetViews>
  <sheetFormatPr baseColWidth="10" defaultRowHeight="15"/>
  <cols>
    <col min="3" max="3" width="60" bestFit="1" customWidth="1"/>
    <col min="4" max="4" width="39.33203125" bestFit="1" customWidth="1"/>
    <col min="5" max="5" width="19.33203125" customWidth="1"/>
    <col min="6" max="6" width="42" customWidth="1"/>
  </cols>
  <sheetData>
    <row r="10" spans="2:13" ht="24">
      <c r="C10" s="429" t="s">
        <v>715</v>
      </c>
      <c r="D10" s="430"/>
    </row>
    <row r="12" spans="2:13" ht="24">
      <c r="B12" s="462">
        <v>2024</v>
      </c>
      <c r="C12" s="294" t="s">
        <v>730</v>
      </c>
      <c r="D12" s="297">
        <v>888000</v>
      </c>
    </row>
    <row r="13" spans="2:13" ht="24">
      <c r="C13" s="294" t="s">
        <v>1799</v>
      </c>
      <c r="D13" s="293">
        <v>111000</v>
      </c>
    </row>
    <row r="14" spans="2:13" ht="24">
      <c r="C14" s="292" t="s">
        <v>731</v>
      </c>
      <c r="D14" s="293">
        <v>79000</v>
      </c>
    </row>
    <row r="15" spans="2:13" ht="25" thickBot="1">
      <c r="C15" s="294" t="s">
        <v>717</v>
      </c>
      <c r="D15" s="293">
        <v>50000</v>
      </c>
    </row>
    <row r="16" spans="2:13" ht="25" thickBot="1">
      <c r="C16" s="294" t="s">
        <v>718</v>
      </c>
      <c r="D16" s="293">
        <v>50000</v>
      </c>
      <c r="G16" s="224" t="s">
        <v>266</v>
      </c>
      <c r="H16" s="220" t="s">
        <v>568</v>
      </c>
      <c r="I16" s="220" t="s">
        <v>566</v>
      </c>
      <c r="J16" s="220" t="s">
        <v>569</v>
      </c>
      <c r="K16" s="221" t="s">
        <v>567</v>
      </c>
      <c r="L16" s="225" t="s">
        <v>570</v>
      </c>
      <c r="M16" s="222" t="s">
        <v>1957</v>
      </c>
    </row>
    <row r="17" spans="3:13" ht="24">
      <c r="C17" s="294" t="s">
        <v>720</v>
      </c>
      <c r="D17" s="293">
        <v>30000</v>
      </c>
      <c r="G17" s="226">
        <v>2019</v>
      </c>
      <c r="H17" s="211">
        <v>306000</v>
      </c>
      <c r="I17" s="212">
        <v>40806</v>
      </c>
      <c r="J17" s="213"/>
      <c r="K17" s="214"/>
      <c r="L17" s="194"/>
      <c r="M17" s="215">
        <v>346806</v>
      </c>
    </row>
    <row r="18" spans="3:13" ht="24">
      <c r="C18" s="294" t="s">
        <v>734</v>
      </c>
      <c r="D18" s="293">
        <v>30000</v>
      </c>
      <c r="G18" s="190"/>
      <c r="H18" s="210">
        <v>510021</v>
      </c>
      <c r="I18" s="186">
        <v>40707</v>
      </c>
      <c r="J18" s="186"/>
      <c r="K18" s="215"/>
      <c r="L18" s="194"/>
      <c r="M18" s="215">
        <v>550728</v>
      </c>
    </row>
    <row r="19" spans="3:13" ht="25" thickBot="1">
      <c r="C19" s="294" t="s">
        <v>722</v>
      </c>
      <c r="D19" s="293">
        <v>30000</v>
      </c>
      <c r="G19" s="227"/>
      <c r="H19" s="216" t="s">
        <v>565</v>
      </c>
      <c r="I19" s="217"/>
      <c r="J19" s="217"/>
      <c r="K19" s="218"/>
      <c r="L19" s="194"/>
      <c r="M19" s="215"/>
    </row>
    <row r="20" spans="3:13" ht="25" thickBot="1">
      <c r="C20" s="294" t="s">
        <v>728</v>
      </c>
      <c r="D20" s="293">
        <v>27700</v>
      </c>
      <c r="G20" s="226">
        <v>2020</v>
      </c>
      <c r="H20" s="213"/>
      <c r="I20" s="213"/>
      <c r="J20" s="213">
        <v>38000</v>
      </c>
      <c r="K20" s="214">
        <v>11668</v>
      </c>
      <c r="L20" s="214">
        <v>11668</v>
      </c>
      <c r="M20" s="213">
        <v>38000</v>
      </c>
    </row>
    <row r="21" spans="3:13" ht="24">
      <c r="C21" s="294" t="s">
        <v>719</v>
      </c>
      <c r="D21" s="293">
        <v>20000</v>
      </c>
      <c r="G21" s="190"/>
      <c r="H21" s="186"/>
      <c r="I21" s="186"/>
      <c r="J21" s="186">
        <v>1000</v>
      </c>
      <c r="K21" s="214">
        <v>11668</v>
      </c>
      <c r="L21" s="214">
        <v>11668</v>
      </c>
      <c r="M21" s="186">
        <v>1000</v>
      </c>
    </row>
    <row r="22" spans="3:13" ht="24">
      <c r="C22" s="294" t="s">
        <v>727</v>
      </c>
      <c r="D22" s="293">
        <v>17700</v>
      </c>
      <c r="G22" s="190"/>
      <c r="H22" s="186"/>
      <c r="I22" s="186"/>
      <c r="J22" s="186">
        <v>2360</v>
      </c>
      <c r="K22" s="215"/>
      <c r="L22" s="194"/>
      <c r="M22" s="186">
        <v>2360</v>
      </c>
    </row>
    <row r="23" spans="3:13" ht="24">
      <c r="C23" s="294" t="s">
        <v>732</v>
      </c>
      <c r="D23" s="293">
        <v>13500</v>
      </c>
      <c r="G23" s="190"/>
      <c r="H23" s="186"/>
      <c r="I23" s="186"/>
      <c r="J23" s="186">
        <v>2268</v>
      </c>
      <c r="K23" s="215"/>
      <c r="L23" s="194"/>
      <c r="M23" s="186">
        <v>2268</v>
      </c>
    </row>
    <row r="24" spans="3:13" ht="24">
      <c r="C24" s="294" t="s">
        <v>726</v>
      </c>
      <c r="D24" s="293">
        <v>11700</v>
      </c>
      <c r="G24" s="198">
        <v>2021</v>
      </c>
      <c r="H24" s="187"/>
      <c r="I24" s="187"/>
      <c r="J24" s="230"/>
      <c r="K24" s="231">
        <v>11668</v>
      </c>
      <c r="L24" s="188"/>
      <c r="M24" s="223"/>
    </row>
    <row r="25" spans="3:13" ht="24">
      <c r="C25" s="294" t="s">
        <v>735</v>
      </c>
      <c r="D25" s="293">
        <v>11000</v>
      </c>
      <c r="G25" s="190"/>
      <c r="H25" s="186"/>
      <c r="I25" s="186"/>
      <c r="J25" s="230"/>
      <c r="K25" s="231">
        <v>14896</v>
      </c>
      <c r="L25" s="194"/>
      <c r="M25" s="215"/>
    </row>
    <row r="26" spans="3:13" ht="24">
      <c r="C26" s="294" t="s">
        <v>729</v>
      </c>
      <c r="D26" s="293">
        <v>9900</v>
      </c>
      <c r="G26" s="190"/>
      <c r="H26" s="186"/>
      <c r="I26" s="186"/>
      <c r="J26" s="230"/>
      <c r="K26" s="231">
        <v>23038</v>
      </c>
      <c r="L26" s="194"/>
      <c r="M26" s="215"/>
    </row>
    <row r="27" spans="3:13" ht="24">
      <c r="C27" s="294" t="s">
        <v>723</v>
      </c>
      <c r="D27" s="293">
        <v>8700</v>
      </c>
      <c r="G27" s="190"/>
      <c r="H27" s="186"/>
      <c r="I27" s="186"/>
      <c r="J27" s="230"/>
      <c r="K27" s="231">
        <v>23038</v>
      </c>
      <c r="L27" s="194"/>
      <c r="M27" s="215"/>
    </row>
    <row r="28" spans="3:13" ht="24">
      <c r="C28" s="294" t="s">
        <v>724</v>
      </c>
      <c r="D28" s="293">
        <v>8300</v>
      </c>
      <c r="G28" s="190"/>
      <c r="H28" s="186"/>
      <c r="I28" s="186"/>
      <c r="J28" s="230"/>
      <c r="K28" s="231">
        <v>25385</v>
      </c>
      <c r="L28" s="194"/>
      <c r="M28" s="215"/>
    </row>
    <row r="29" spans="3:13" ht="24">
      <c r="C29" s="292" t="s">
        <v>716</v>
      </c>
      <c r="D29" s="293">
        <v>3800</v>
      </c>
      <c r="G29" s="190"/>
      <c r="H29" s="186"/>
      <c r="I29" s="186"/>
      <c r="J29" s="230"/>
      <c r="K29" s="231">
        <v>33746</v>
      </c>
      <c r="L29" s="194"/>
      <c r="M29" s="215"/>
    </row>
    <row r="30" spans="3:13" ht="24">
      <c r="C30" s="324" t="s">
        <v>742</v>
      </c>
      <c r="D30" s="410">
        <v>3600</v>
      </c>
      <c r="G30" s="190"/>
      <c r="H30" s="186"/>
      <c r="I30" s="186"/>
      <c r="J30" s="230"/>
      <c r="K30" s="231">
        <v>33746</v>
      </c>
      <c r="L30" s="194"/>
      <c r="M30" s="215"/>
    </row>
    <row r="31" spans="3:13" ht="24">
      <c r="C31" s="294" t="s">
        <v>725</v>
      </c>
      <c r="D31" s="293">
        <v>1150</v>
      </c>
      <c r="G31" s="190"/>
      <c r="H31" s="186"/>
      <c r="I31" s="186"/>
      <c r="J31" s="230"/>
      <c r="K31" s="231">
        <v>34626</v>
      </c>
      <c r="L31" s="194"/>
      <c r="M31" s="215"/>
    </row>
    <row r="32" spans="3:13" ht="24">
      <c r="C32" s="294" t="s">
        <v>721</v>
      </c>
      <c r="D32" s="293">
        <v>1000</v>
      </c>
      <c r="G32" s="190"/>
      <c r="H32" s="186"/>
      <c r="I32" s="186"/>
      <c r="J32" s="230"/>
      <c r="K32" s="231">
        <v>41677</v>
      </c>
      <c r="L32" s="194"/>
      <c r="M32" s="215"/>
    </row>
    <row r="33" spans="2:13" ht="24">
      <c r="C33" s="295" t="s">
        <v>733</v>
      </c>
      <c r="D33" s="296">
        <v>1000</v>
      </c>
      <c r="G33" s="190"/>
      <c r="H33" s="186"/>
      <c r="I33" s="186"/>
      <c r="J33" s="230"/>
      <c r="K33" s="231">
        <v>41677</v>
      </c>
      <c r="L33" s="194"/>
      <c r="M33" s="215"/>
    </row>
    <row r="34" spans="2:13" ht="24">
      <c r="B34" s="463">
        <v>2025</v>
      </c>
      <c r="C34" s="294" t="s">
        <v>1920</v>
      </c>
      <c r="D34" s="293">
        <v>-10000</v>
      </c>
      <c r="G34" s="190"/>
      <c r="H34" s="186"/>
      <c r="I34" s="186"/>
      <c r="J34" s="230"/>
      <c r="K34" s="231">
        <v>45786</v>
      </c>
      <c r="L34" s="194"/>
      <c r="M34" s="215"/>
    </row>
    <row r="35" spans="2:13" ht="24">
      <c r="B35">
        <v>2025</v>
      </c>
      <c r="C35" s="478" t="s">
        <v>1921</v>
      </c>
      <c r="D35" s="293"/>
      <c r="G35" s="190"/>
      <c r="H35" s="186"/>
      <c r="I35" s="186"/>
      <c r="J35" s="275"/>
      <c r="K35" s="276"/>
      <c r="L35" s="194"/>
      <c r="M35" s="215"/>
    </row>
    <row r="36" spans="2:13" ht="24">
      <c r="C36" s="294" t="s">
        <v>1922</v>
      </c>
      <c r="D36" s="293">
        <v>2500</v>
      </c>
      <c r="G36" s="190"/>
      <c r="H36" s="186"/>
      <c r="I36" s="186"/>
      <c r="J36" s="275"/>
      <c r="K36" s="276"/>
      <c r="L36" s="194"/>
      <c r="M36" s="215"/>
    </row>
    <row r="37" spans="2:13" ht="24">
      <c r="C37" s="294" t="s">
        <v>1923</v>
      </c>
      <c r="D37" s="293">
        <v>1200</v>
      </c>
      <c r="G37" s="195"/>
      <c r="H37" s="196"/>
      <c r="I37" s="196"/>
      <c r="J37" s="230"/>
      <c r="K37" s="231">
        <v>48982</v>
      </c>
      <c r="L37" s="197">
        <v>378265</v>
      </c>
      <c r="M37" s="229">
        <v>0</v>
      </c>
    </row>
    <row r="38" spans="2:13" ht="23">
      <c r="C38" s="294" t="s">
        <v>1924</v>
      </c>
      <c r="D38">
        <v>500</v>
      </c>
      <c r="G38" s="199">
        <v>2022</v>
      </c>
      <c r="H38" s="186"/>
      <c r="I38" s="186"/>
      <c r="J38" s="186"/>
      <c r="K38" s="228">
        <v>48982</v>
      </c>
      <c r="L38" s="194"/>
      <c r="M38" s="215"/>
    </row>
    <row r="39" spans="2:13" ht="24">
      <c r="C39" s="294" t="s">
        <v>1925</v>
      </c>
      <c r="D39" s="434">
        <v>1380</v>
      </c>
      <c r="E39" t="s">
        <v>1928</v>
      </c>
      <c r="G39" s="190"/>
      <c r="H39" s="186"/>
      <c r="I39" s="186"/>
      <c r="J39" s="186"/>
      <c r="K39" s="219">
        <v>48982</v>
      </c>
      <c r="L39" s="194"/>
      <c r="M39" s="215"/>
    </row>
    <row r="40" spans="2:13" ht="24">
      <c r="C40" s="294" t="s">
        <v>1926</v>
      </c>
      <c r="D40" s="434">
        <v>35490</v>
      </c>
      <c r="E40" t="s">
        <v>1927</v>
      </c>
      <c r="G40" s="190"/>
      <c r="H40" s="186"/>
      <c r="I40" s="186"/>
      <c r="J40" s="186"/>
      <c r="K40" s="219">
        <v>48982</v>
      </c>
      <c r="L40" s="194"/>
      <c r="M40" s="215"/>
    </row>
    <row r="41" spans="2:13" ht="24">
      <c r="C41" s="294" t="s">
        <v>1929</v>
      </c>
      <c r="D41" s="434">
        <v>-14000</v>
      </c>
      <c r="G41" s="190"/>
      <c r="H41" s="186"/>
      <c r="I41" s="186"/>
      <c r="J41" s="186"/>
      <c r="K41" s="219">
        <v>48982</v>
      </c>
      <c r="L41" s="194"/>
      <c r="M41" s="215"/>
    </row>
    <row r="42" spans="2:13" ht="16">
      <c r="G42" s="190"/>
      <c r="H42" s="186"/>
      <c r="I42" s="186"/>
      <c r="J42" s="186"/>
      <c r="K42" s="219">
        <v>48982</v>
      </c>
      <c r="L42" s="194"/>
      <c r="M42" s="215"/>
    </row>
    <row r="43" spans="2:13" ht="16">
      <c r="G43" s="190"/>
      <c r="H43" s="186"/>
      <c r="I43" s="186"/>
      <c r="J43" s="186"/>
      <c r="K43" s="219">
        <v>48982</v>
      </c>
      <c r="L43" s="194"/>
      <c r="M43" s="215"/>
    </row>
    <row r="44" spans="2:13" ht="24">
      <c r="C44" s="325" t="s">
        <v>34</v>
      </c>
      <c r="D44" s="409">
        <v>1424120</v>
      </c>
      <c r="G44" s="190"/>
      <c r="H44" s="186"/>
      <c r="I44" s="186"/>
      <c r="J44" s="186"/>
      <c r="K44" s="219">
        <v>48982</v>
      </c>
      <c r="L44" s="194"/>
      <c r="M44" s="215"/>
    </row>
    <row r="45" spans="2:13" ht="16">
      <c r="G45" s="190"/>
      <c r="H45" s="186"/>
      <c r="I45" s="186"/>
      <c r="J45" s="186"/>
      <c r="K45" s="219">
        <v>48982</v>
      </c>
      <c r="L45" s="194"/>
      <c r="M45" s="215"/>
    </row>
    <row r="46" spans="2:13" ht="16">
      <c r="G46" s="190"/>
      <c r="H46" s="186"/>
      <c r="I46" s="186"/>
      <c r="J46" s="186"/>
      <c r="K46" s="219">
        <v>49371</v>
      </c>
      <c r="L46" s="194"/>
      <c r="M46" s="215"/>
    </row>
    <row r="47" spans="2:13" ht="16">
      <c r="G47" s="190"/>
      <c r="H47" s="186"/>
      <c r="I47" s="186"/>
      <c r="J47" s="186"/>
      <c r="K47" s="219">
        <v>55862</v>
      </c>
      <c r="L47" s="194"/>
      <c r="M47" s="215"/>
    </row>
    <row r="48" spans="2:13" ht="16">
      <c r="G48" s="190"/>
      <c r="H48" s="186"/>
      <c r="I48" s="186"/>
      <c r="J48" s="186"/>
      <c r="K48" s="219">
        <v>55862</v>
      </c>
      <c r="L48" s="194"/>
      <c r="M48" s="215"/>
    </row>
    <row r="49" spans="3:13" ht="16">
      <c r="G49" s="190"/>
      <c r="H49" s="186"/>
      <c r="I49" s="186"/>
      <c r="J49" s="186"/>
      <c r="K49" s="219"/>
      <c r="L49" s="194"/>
      <c r="M49" s="215"/>
    </row>
    <row r="50" spans="3:13" ht="16">
      <c r="G50" s="190"/>
      <c r="H50" s="186"/>
      <c r="I50" s="186"/>
      <c r="J50" s="186"/>
      <c r="K50" s="466">
        <v>55862</v>
      </c>
      <c r="L50" s="194">
        <v>608813</v>
      </c>
      <c r="M50" s="215">
        <v>0</v>
      </c>
    </row>
    <row r="51" spans="3:13" ht="16">
      <c r="G51" s="467">
        <v>2023</v>
      </c>
      <c r="H51" s="187"/>
      <c r="I51" s="187"/>
      <c r="J51" s="275" t="s">
        <v>1947</v>
      </c>
      <c r="K51" s="276">
        <v>55862</v>
      </c>
      <c r="L51" s="399"/>
      <c r="M51" s="187"/>
    </row>
    <row r="52" spans="3:13" ht="16">
      <c r="C52" s="431" t="s">
        <v>1985</v>
      </c>
      <c r="D52" s="48"/>
      <c r="E52" s="503"/>
      <c r="G52" s="190"/>
      <c r="H52" s="186"/>
      <c r="I52" s="186"/>
      <c r="J52" s="275" t="s">
        <v>1948</v>
      </c>
      <c r="K52" s="276">
        <v>56062</v>
      </c>
      <c r="L52" s="194"/>
      <c r="M52" s="186"/>
    </row>
    <row r="53" spans="3:13" ht="16">
      <c r="C53" s="504" t="s">
        <v>1986</v>
      </c>
      <c r="E53" s="507">
        <v>3816931</v>
      </c>
      <c r="G53" s="190"/>
      <c r="H53" s="186"/>
      <c r="I53" s="186"/>
      <c r="J53" s="275" t="s">
        <v>1948</v>
      </c>
      <c r="K53" s="276">
        <v>419</v>
      </c>
      <c r="L53" s="194"/>
      <c r="M53" s="186"/>
    </row>
    <row r="54" spans="3:13" ht="16">
      <c r="C54" s="504" t="s">
        <v>1987</v>
      </c>
      <c r="E54" s="507">
        <v>1804694</v>
      </c>
      <c r="G54" s="190"/>
      <c r="H54" s="186"/>
      <c r="I54" s="186"/>
      <c r="J54" s="275" t="s">
        <v>1949</v>
      </c>
      <c r="K54" s="276">
        <v>55862</v>
      </c>
      <c r="L54" s="194"/>
      <c r="M54" s="186"/>
    </row>
    <row r="55" spans="3:13" ht="16">
      <c r="C55" s="50"/>
      <c r="E55" s="51"/>
      <c r="G55" s="190"/>
      <c r="H55" s="186"/>
      <c r="I55" s="186"/>
      <c r="J55" s="275" t="s">
        <v>1950</v>
      </c>
      <c r="K55" s="276">
        <v>55862</v>
      </c>
      <c r="L55" s="194"/>
      <c r="M55" s="186"/>
    </row>
    <row r="56" spans="3:13" ht="16">
      <c r="C56" s="505" t="s">
        <v>1990</v>
      </c>
      <c r="D56" s="506" t="s">
        <v>1991</v>
      </c>
      <c r="E56" s="509">
        <v>3285630</v>
      </c>
      <c r="G56" s="190"/>
      <c r="H56" s="186"/>
      <c r="I56" s="186"/>
      <c r="J56" s="275" t="s">
        <v>2</v>
      </c>
      <c r="K56" s="276">
        <v>55862</v>
      </c>
      <c r="L56" s="194"/>
      <c r="M56" s="186"/>
    </row>
    <row r="57" spans="3:13" ht="16">
      <c r="C57" s="50"/>
      <c r="E57" s="51"/>
      <c r="G57" s="190"/>
      <c r="H57" s="186"/>
      <c r="I57" s="186"/>
      <c r="J57" s="275" t="s">
        <v>1951</v>
      </c>
      <c r="K57" s="276">
        <v>55862</v>
      </c>
      <c r="L57" s="194"/>
      <c r="M57" s="186"/>
    </row>
    <row r="58" spans="3:13" ht="16">
      <c r="C58" s="50" t="s">
        <v>1988</v>
      </c>
      <c r="D58" t="s">
        <v>1989</v>
      </c>
      <c r="E58" s="508">
        <v>2627808</v>
      </c>
      <c r="G58" s="190"/>
      <c r="H58" s="186"/>
      <c r="I58" s="186"/>
      <c r="J58" s="275" t="s">
        <v>1952</v>
      </c>
      <c r="K58" s="276">
        <v>55862</v>
      </c>
      <c r="L58" s="194"/>
      <c r="M58" s="186"/>
    </row>
    <row r="59" spans="3:13" ht="23">
      <c r="C59" s="50"/>
      <c r="D59" s="510"/>
      <c r="E59" s="511">
        <v>-2221051</v>
      </c>
      <c r="G59" s="190"/>
      <c r="H59" s="186"/>
      <c r="I59" s="186"/>
      <c r="J59" s="275" t="s">
        <v>1953</v>
      </c>
      <c r="K59" s="276">
        <v>55862</v>
      </c>
      <c r="L59" s="194"/>
      <c r="M59" s="186"/>
    </row>
    <row r="60" spans="3:13" ht="16">
      <c r="C60" s="52" t="s">
        <v>1992</v>
      </c>
      <c r="D60" s="53"/>
      <c r="E60" s="54">
        <v>406757</v>
      </c>
      <c r="G60" s="190"/>
      <c r="H60" s="186"/>
      <c r="I60" s="186"/>
      <c r="J60" s="275" t="s">
        <v>1954</v>
      </c>
      <c r="K60" s="276">
        <v>56397</v>
      </c>
      <c r="L60" s="194"/>
      <c r="M60" s="186"/>
    </row>
    <row r="61" spans="3:13" ht="16">
      <c r="G61" s="50"/>
      <c r="J61" s="275" t="s">
        <v>1955</v>
      </c>
      <c r="K61" s="468">
        <v>71586</v>
      </c>
      <c r="L61" s="51"/>
    </row>
    <row r="62" spans="3:13" ht="16">
      <c r="G62" s="50"/>
      <c r="J62" s="275" t="s">
        <v>1956</v>
      </c>
      <c r="K62" s="468">
        <v>71586</v>
      </c>
      <c r="L62" s="51"/>
    </row>
    <row r="63" spans="3:13" ht="16">
      <c r="G63" s="50"/>
      <c r="J63" s="469" t="s">
        <v>371</v>
      </c>
      <c r="K63" s="470">
        <v>71586</v>
      </c>
      <c r="L63" s="51"/>
    </row>
    <row r="64" spans="3:13" ht="16">
      <c r="G64" s="50" t="s">
        <v>34</v>
      </c>
      <c r="J64" s="469"/>
      <c r="K64" s="470"/>
      <c r="L64">
        <v>718670</v>
      </c>
      <c r="M64" s="229">
        <v>0</v>
      </c>
    </row>
    <row r="65" spans="7:13" ht="16">
      <c r="G65" s="467">
        <v>2024</v>
      </c>
      <c r="H65" s="187"/>
      <c r="I65" s="187"/>
      <c r="J65" s="275" t="s">
        <v>1947</v>
      </c>
      <c r="K65" s="470">
        <v>71586</v>
      </c>
      <c r="L65" s="399"/>
      <c r="M65" s="187"/>
    </row>
    <row r="66" spans="7:13" ht="16">
      <c r="G66" s="190"/>
      <c r="H66" s="186"/>
      <c r="I66" s="186"/>
      <c r="J66" s="275" t="s">
        <v>1948</v>
      </c>
      <c r="K66" s="470">
        <v>71586</v>
      </c>
      <c r="L66" s="194"/>
      <c r="M66" s="186"/>
    </row>
    <row r="67" spans="7:13" ht="16">
      <c r="G67" s="190"/>
      <c r="H67" s="186"/>
      <c r="I67" s="186"/>
      <c r="J67" s="275" t="s">
        <v>1949</v>
      </c>
      <c r="K67" s="276">
        <v>72323</v>
      </c>
      <c r="L67" s="194"/>
      <c r="M67" s="186"/>
    </row>
    <row r="68" spans="7:13" ht="16">
      <c r="G68" s="190"/>
      <c r="H68" s="186"/>
      <c r="I68" s="186"/>
      <c r="J68" s="275" t="s">
        <v>1950</v>
      </c>
      <c r="K68" s="470">
        <v>71586</v>
      </c>
      <c r="L68" s="194"/>
      <c r="M68" s="186"/>
    </row>
    <row r="69" spans="7:13" ht="16">
      <c r="G69" s="190"/>
      <c r="H69" s="186"/>
      <c r="I69" s="186"/>
      <c r="J69" s="275" t="s">
        <v>2</v>
      </c>
      <c r="K69" s="470">
        <v>71586</v>
      </c>
      <c r="L69" s="194"/>
      <c r="M69" s="186"/>
    </row>
    <row r="70" spans="7:13" ht="16">
      <c r="G70" s="190"/>
      <c r="H70" s="186"/>
      <c r="I70" s="186"/>
      <c r="J70" s="275" t="s">
        <v>1951</v>
      </c>
      <c r="K70" s="470">
        <v>71586</v>
      </c>
      <c r="L70" s="194"/>
      <c r="M70" s="186"/>
    </row>
    <row r="71" spans="7:13" ht="16">
      <c r="G71" s="190"/>
      <c r="H71" s="186"/>
      <c r="I71" s="186"/>
      <c r="J71" s="275" t="s">
        <v>1952</v>
      </c>
      <c r="K71" s="470">
        <v>71586</v>
      </c>
      <c r="L71" s="194"/>
      <c r="M71" s="186"/>
    </row>
    <row r="72" spans="7:13" ht="16">
      <c r="G72" s="190"/>
      <c r="H72" s="186"/>
      <c r="I72" s="186"/>
      <c r="J72" s="275" t="s">
        <v>1953</v>
      </c>
      <c r="K72" s="470">
        <v>71586</v>
      </c>
      <c r="L72" s="194"/>
      <c r="M72" s="186"/>
    </row>
    <row r="73" spans="7:13" ht="16">
      <c r="G73" s="190"/>
      <c r="H73" s="186"/>
      <c r="I73" s="186"/>
      <c r="J73" s="275" t="s">
        <v>1954</v>
      </c>
      <c r="K73" s="470">
        <v>71586</v>
      </c>
      <c r="L73" s="194"/>
      <c r="M73" s="186"/>
    </row>
    <row r="74" spans="7:13" ht="16">
      <c r="G74" s="50"/>
      <c r="J74" s="275" t="s">
        <v>1955</v>
      </c>
      <c r="K74" s="470">
        <v>71586</v>
      </c>
      <c r="L74" s="51"/>
    </row>
    <row r="75" spans="7:13" ht="16">
      <c r="G75" s="50"/>
      <c r="J75" s="275" t="s">
        <v>1956</v>
      </c>
      <c r="K75" s="470">
        <v>71586</v>
      </c>
      <c r="L75" s="51"/>
    </row>
    <row r="76" spans="7:13" ht="16">
      <c r="G76" s="50"/>
      <c r="J76" s="275" t="s">
        <v>371</v>
      </c>
      <c r="K76" s="470">
        <v>71586</v>
      </c>
      <c r="L76" s="51"/>
    </row>
    <row r="77" spans="7:13" ht="16">
      <c r="G77" s="50" t="s">
        <v>34</v>
      </c>
      <c r="H77" s="53"/>
      <c r="I77" s="53"/>
      <c r="J77" s="53"/>
      <c r="K77" s="53"/>
      <c r="L77" s="53">
        <v>859769</v>
      </c>
      <c r="M77" s="229">
        <v>0</v>
      </c>
    </row>
    <row r="78" spans="7:13" ht="16">
      <c r="G78" s="467">
        <v>2025</v>
      </c>
      <c r="H78" s="187"/>
      <c r="I78" s="187"/>
      <c r="J78" s="275" t="s">
        <v>1947</v>
      </c>
      <c r="K78" s="470">
        <v>71586</v>
      </c>
      <c r="L78" s="399"/>
      <c r="M78" s="187"/>
    </row>
    <row r="79" spans="7:13" ht="16">
      <c r="G79" s="190"/>
      <c r="H79" s="186"/>
      <c r="I79" s="186"/>
      <c r="J79" s="275" t="s">
        <v>1948</v>
      </c>
      <c r="K79" s="470">
        <v>71586</v>
      </c>
      <c r="L79" s="194"/>
      <c r="M79" s="186"/>
    </row>
    <row r="80" spans="7:13" ht="16">
      <c r="G80" s="190"/>
      <c r="H80" s="186"/>
      <c r="I80" s="186"/>
      <c r="J80" s="275" t="s">
        <v>1949</v>
      </c>
      <c r="K80" s="470">
        <v>71586</v>
      </c>
      <c r="L80" s="194"/>
      <c r="M80" s="186"/>
    </row>
    <row r="81" spans="7:13" ht="16">
      <c r="G81" s="190"/>
      <c r="H81" s="186"/>
      <c r="I81" s="186"/>
      <c r="J81" s="275" t="s">
        <v>1950</v>
      </c>
      <c r="K81" s="470">
        <v>71367</v>
      </c>
      <c r="L81" s="194"/>
      <c r="M81" s="186"/>
    </row>
    <row r="82" spans="7:13" ht="16">
      <c r="G82" s="190"/>
      <c r="H82" s="186"/>
      <c r="I82" s="186"/>
      <c r="J82" s="275" t="s">
        <v>2</v>
      </c>
      <c r="K82" s="470">
        <v>71586</v>
      </c>
      <c r="L82" s="194"/>
      <c r="M82" s="186"/>
    </row>
    <row r="83" spans="7:13" ht="16">
      <c r="G83" s="190"/>
      <c r="H83" s="186"/>
      <c r="I83" s="186"/>
      <c r="J83" s="275" t="s">
        <v>1951</v>
      </c>
      <c r="K83" s="470">
        <v>71586</v>
      </c>
      <c r="L83" s="194"/>
      <c r="M83" s="186"/>
    </row>
    <row r="84" spans="7:13" ht="16">
      <c r="G84" s="190"/>
      <c r="H84" s="186"/>
      <c r="I84" s="186"/>
      <c r="J84" s="275" t="s">
        <v>1952</v>
      </c>
      <c r="K84" s="470">
        <v>71603</v>
      </c>
      <c r="L84" s="194"/>
      <c r="M84" s="186"/>
    </row>
    <row r="85" spans="7:13" ht="16">
      <c r="G85" s="190"/>
      <c r="H85" s="186"/>
      <c r="I85" s="186"/>
      <c r="J85" s="275" t="s">
        <v>1953</v>
      </c>
      <c r="K85" s="470">
        <v>71586</v>
      </c>
      <c r="L85" s="194"/>
      <c r="M85" s="186"/>
    </row>
    <row r="86" spans="7:13" ht="16">
      <c r="G86" s="190"/>
      <c r="H86" s="186"/>
      <c r="I86" s="186"/>
      <c r="J86" s="275" t="s">
        <v>1954</v>
      </c>
      <c r="K86" s="470">
        <v>54746</v>
      </c>
      <c r="L86" s="194"/>
      <c r="M86" s="186"/>
    </row>
    <row r="87" spans="7:13" ht="16">
      <c r="G87" s="50"/>
      <c r="J87" s="275" t="s">
        <v>1955</v>
      </c>
      <c r="K87" s="470"/>
      <c r="L87" s="51"/>
    </row>
    <row r="88" spans="7:13" ht="16">
      <c r="G88" s="50"/>
      <c r="J88" s="275" t="s">
        <v>1956</v>
      </c>
      <c r="K88" s="470"/>
      <c r="L88" s="51"/>
    </row>
    <row r="89" spans="7:13" ht="16">
      <c r="G89" s="50"/>
      <c r="J89" s="275" t="s">
        <v>371</v>
      </c>
      <c r="K89" s="470"/>
      <c r="L89" s="51"/>
    </row>
    <row r="90" spans="7:13" ht="16">
      <c r="G90" s="50" t="s">
        <v>34</v>
      </c>
      <c r="H90" s="53"/>
      <c r="I90" s="53"/>
      <c r="J90" s="53"/>
      <c r="K90" s="53"/>
      <c r="L90" s="53">
        <v>627232</v>
      </c>
      <c r="M90" s="229">
        <v>941162</v>
      </c>
    </row>
    <row r="91" spans="7:13">
      <c r="L91" s="23">
        <v>3216085</v>
      </c>
      <c r="M91">
        <v>1882324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c5c1ca9-dd9d-4404-b69d-f7f02d205dd0}" enabled="1" method="Privileged" siteId="{66295b3b-c4fd-41af-a077-c0ec2a40e36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90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2014-16</vt:lpstr>
      <vt:lpstr>2017-19</vt:lpstr>
      <vt:lpstr>2020-22</vt:lpstr>
      <vt:lpstr>2023</vt:lpstr>
      <vt:lpstr>2024</vt:lpstr>
      <vt:lpstr>2025</vt:lpstr>
      <vt:lpstr>USA Stocks</vt:lpstr>
      <vt:lpstr>India stocks</vt:lpstr>
      <vt:lpstr>Investments</vt:lpstr>
      <vt:lpstr>Transfers</vt:lpstr>
      <vt:lpstr>Trips</vt:lpstr>
      <vt:lpstr>Health MasterSheet</vt:lpstr>
      <vt:lpstr>Healthcare</vt:lpstr>
      <vt:lpstr>GEM</vt:lpstr>
      <vt:lpstr>Healthcare!expand_transaction_from_description_6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SURYATHEJU YERRA</dc:creator>
  <cp:lastModifiedBy>Suryatheju Yerra</cp:lastModifiedBy>
  <cp:revision>74</cp:revision>
  <dcterms:created xsi:type="dcterms:W3CDTF">2006-09-16T00:00:00Z</dcterms:created>
  <dcterms:modified xsi:type="dcterms:W3CDTF">2025-09-19T16:43:32Z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