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syerr3/Library/CloudStorage/OneDrive-AmericanExpress/Desktop/"/>
    </mc:Choice>
  </mc:AlternateContent>
  <xr:revisionPtr revIDLastSave="0" documentId="8_{7F35CDA8-987E-AB4F-A6F5-F396CE5A5BD8}" xr6:coauthVersionLast="47" xr6:coauthVersionMax="47" xr10:uidLastSave="{00000000-0000-0000-0000-000000000000}"/>
  <bookViews>
    <workbookView xWindow="1020" yWindow="760" windowWidth="26700" windowHeight="19460" activeTab="1" xr2:uid="{00000000-000D-0000-FFFF-FFFF00000000}"/>
  </bookViews>
  <sheets>
    <sheet name="ORJ - Ultimate FI Budget" sheetId="1" r:id="rId1"/>
    <sheet name="Surya Networth" sheetId="8" r:id="rId2"/>
    <sheet name="Alekhya Networth" sheetId="7" r:id="rId3"/>
    <sheet name="India Lifestyle" sheetId="9" r:id="rId4"/>
  </sheets>
  <definedNames>
    <definedName name="_xlnm._FilterDatabase" localSheetId="2" hidden="1">'Alekhya Networth'!$C$11:$H$24</definedName>
    <definedName name="_xlnm._FilterDatabase" localSheetId="1" hidden="1">'Surya Networth'!$D$10:$G$41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1" i="1" l="1"/>
  <c r="L32" i="1" s="1"/>
  <c r="D75" i="1"/>
  <c r="E75" i="1" s="1"/>
  <c r="E9" i="1"/>
  <c r="D10" i="1"/>
  <c r="E18" i="1"/>
  <c r="E17" i="1"/>
  <c r="E16" i="1"/>
  <c r="D68" i="1"/>
  <c r="D29" i="1"/>
  <c r="D21" i="1"/>
  <c r="E74" i="1"/>
  <c r="E55" i="1"/>
  <c r="K32" i="1"/>
  <c r="E78" i="1"/>
  <c r="E79" i="1"/>
  <c r="E80" i="1"/>
  <c r="E77" i="1"/>
  <c r="E72" i="1"/>
  <c r="E81" i="1" l="1"/>
  <c r="E40" i="1" l="1"/>
  <c r="C107" i="1" l="1"/>
  <c r="C105" i="1"/>
  <c r="C103" i="1"/>
  <c r="C101" i="1"/>
  <c r="C99" i="1"/>
  <c r="C98" i="1"/>
  <c r="C96" i="1"/>
  <c r="C95" i="1"/>
  <c r="C94" i="1"/>
  <c r="L31" i="1"/>
  <c r="E71" i="1"/>
  <c r="E70" i="1"/>
  <c r="L30" i="1"/>
  <c r="E67" i="1"/>
  <c r="E66" i="1"/>
  <c r="E65" i="1"/>
  <c r="E64" i="1"/>
  <c r="E63" i="1"/>
  <c r="E62" i="1"/>
  <c r="E61" i="1"/>
  <c r="E60" i="1"/>
  <c r="D58" i="1"/>
  <c r="L29" i="1" s="1"/>
  <c r="E57" i="1"/>
  <c r="E54" i="1"/>
  <c r="E53" i="1"/>
  <c r="E52" i="1"/>
  <c r="E51" i="1"/>
  <c r="E50" i="1"/>
  <c r="E49" i="1"/>
  <c r="D47" i="1"/>
  <c r="E46" i="1"/>
  <c r="E45" i="1"/>
  <c r="E44" i="1"/>
  <c r="E43" i="1"/>
  <c r="E42" i="1"/>
  <c r="E41" i="1"/>
  <c r="D38" i="1"/>
  <c r="L27" i="1" s="1"/>
  <c r="E37" i="1"/>
  <c r="E36" i="1"/>
  <c r="E35" i="1"/>
  <c r="E34" i="1"/>
  <c r="E33" i="1"/>
  <c r="K31" i="1"/>
  <c r="E32" i="1"/>
  <c r="K30" i="1"/>
  <c r="K29" i="1"/>
  <c r="K28" i="1"/>
  <c r="E28" i="1"/>
  <c r="K27" i="1"/>
  <c r="E27" i="1"/>
  <c r="K26" i="1"/>
  <c r="E26" i="1"/>
  <c r="K25" i="1"/>
  <c r="E25" i="1"/>
  <c r="E24" i="1"/>
  <c r="E23" i="1"/>
  <c r="E20" i="1"/>
  <c r="E15" i="1"/>
  <c r="D82" i="1"/>
  <c r="E8" i="1"/>
  <c r="E7" i="1"/>
  <c r="E6" i="1"/>
  <c r="L28" i="1" l="1"/>
  <c r="D83" i="1"/>
  <c r="E83" i="1" s="1"/>
  <c r="E82" i="1"/>
  <c r="L25" i="1"/>
  <c r="E58" i="1"/>
  <c r="E29" i="1"/>
  <c r="E10" i="1"/>
  <c r="E68" i="1"/>
  <c r="E47" i="1"/>
  <c r="E38" i="1"/>
  <c r="E21" i="1"/>
  <c r="G21" i="1"/>
  <c r="E84" i="1" l="1"/>
  <c r="D84" i="1"/>
  <c r="L26" i="1" l="1"/>
  <c r="L33" i="1" s="1"/>
  <c r="M32" i="1" s="1"/>
  <c r="M27" i="1" l="1"/>
  <c r="M25" i="1"/>
  <c r="M29" i="1"/>
  <c r="M31" i="1"/>
  <c r="M28" i="1"/>
  <c r="M30" i="1"/>
  <c r="M26" i="1"/>
  <c r="M33" i="1" l="1"/>
</calcChain>
</file>

<file path=xl/sharedStrings.xml><?xml version="1.0" encoding="utf-8"?>
<sst xmlns="http://schemas.openxmlformats.org/spreadsheetml/2006/main" count="381" uniqueCount="236">
  <si>
    <t>Copy Right: Our Rich Journey LLC</t>
  </si>
  <si>
    <t>This document is a copywritten product of Our Rich Journey and may only be used for personal use. This product cannot be used for sale or commerical  purposes without the expressed written consent of Our Rich Journey.</t>
  </si>
  <si>
    <t xml:space="preserve">PAY YOURSELF FIRST </t>
  </si>
  <si>
    <t>(ULTIMATE FINANCIAL INDEPENDENCE BUDGET)</t>
  </si>
  <si>
    <t>INCOME</t>
  </si>
  <si>
    <t>MONTHLY</t>
  </si>
  <si>
    <t>ANNUALLY</t>
  </si>
  <si>
    <t>RENTAL INCOME</t>
  </si>
  <si>
    <t>SIDE HUSTLES (FB MARKETPLACE, AIRBNB, ETC)</t>
  </si>
  <si>
    <t>PASSIVE INCOME (DIVIDENDS, DIGITAL, ETC)</t>
  </si>
  <si>
    <t>TOTAL INCOME</t>
  </si>
  <si>
    <t>PAY YOURSELF FIRST (PYF) - Savings &amp; Investing</t>
  </si>
  <si>
    <t xml:space="preserve">MONTHLY </t>
  </si>
  <si>
    <t>EMERGENCY FUND</t>
  </si>
  <si>
    <t>SHORT TERM SAVINGS</t>
  </si>
  <si>
    <t>RETIREMENT CONTRIBUTIONS (PRE-TAX/401K)</t>
  </si>
  <si>
    <t>HEALTH SAVINGS ACCOUNT (PRE-TAX)</t>
  </si>
  <si>
    <t>RETIREMENT CONTRIB. (POST-TAX/ROTH IRA)</t>
  </si>
  <si>
    <t>TOTAL PYF</t>
  </si>
  <si>
    <t>Saving Rate is Total PYF divded by Income. Mutliply by 100</t>
  </si>
  <si>
    <t>HOUSEHOLD</t>
  </si>
  <si>
    <t>RENT/MORTGAGE</t>
  </si>
  <si>
    <t>Summary Data (Totals)</t>
  </si>
  <si>
    <t>INSURANCE (RENT/HOMEOWNERS)</t>
  </si>
  <si>
    <t>Catagory</t>
  </si>
  <si>
    <t>Expense ($)</t>
  </si>
  <si>
    <t>Expense (%)</t>
  </si>
  <si>
    <t>MAINTENANCE</t>
  </si>
  <si>
    <t>CABLE/INTERNET</t>
  </si>
  <si>
    <t>CELL PHONE</t>
  </si>
  <si>
    <t>UTILITIES</t>
  </si>
  <si>
    <t>TOTAL HOUSEHOLD</t>
  </si>
  <si>
    <t>FOOD</t>
  </si>
  <si>
    <t>GROCERIES</t>
  </si>
  <si>
    <t>EATING OUT - BREAKFAST</t>
  </si>
  <si>
    <t xml:space="preserve">TOTAL </t>
  </si>
  <si>
    <t>EATING OUT - LUNCH</t>
  </si>
  <si>
    <t>EATING OUT - DINNER</t>
  </si>
  <si>
    <t>LATTE FUND</t>
  </si>
  <si>
    <t>HAPPY HOUR</t>
  </si>
  <si>
    <t>TOTAL FOOD</t>
  </si>
  <si>
    <t>TRANSPORTATION</t>
  </si>
  <si>
    <t>CAR INSURANCE</t>
  </si>
  <si>
    <t xml:space="preserve">GAS </t>
  </si>
  <si>
    <t>PARKING/TOLLS/TICKETS</t>
  </si>
  <si>
    <t>VEHICLE REGISTRATION/ROAD TAX</t>
  </si>
  <si>
    <t>PUBLIC TRANSIT</t>
  </si>
  <si>
    <t>USED CAR FUND</t>
  </si>
  <si>
    <t>TOTAL TRANSPORTATION</t>
  </si>
  <si>
    <t>PERSONAL CARE</t>
  </si>
  <si>
    <t>HAIRCUT</t>
  </si>
  <si>
    <t>SALON</t>
  </si>
  <si>
    <t>Contact the creators of this budegt at: contactus@ourrichjourney.com or visit www.ourrichjourney.com</t>
  </si>
  <si>
    <t>ADULTS CLOTHES</t>
  </si>
  <si>
    <t>KIDS CLOTHES</t>
  </si>
  <si>
    <t>GYM MEMBERSHIPS</t>
  </si>
  <si>
    <t>KIDS SPORTS &amp; SCHOOL SUPPLIES</t>
  </si>
  <si>
    <t>GIFTS (BABY SHOWERS, B-DAYS, FAREWELLS)</t>
  </si>
  <si>
    <t>TOTAL PERSONAL CARE</t>
  </si>
  <si>
    <t>ENTERTAINMENT &amp; TRAVEL (VACATIONS)</t>
  </si>
  <si>
    <t>TRAVEL HACKING TAXES</t>
  </si>
  <si>
    <t>AIRBNB STAYS</t>
  </si>
  <si>
    <t>THEME PARKS</t>
  </si>
  <si>
    <t>THEATRE</t>
  </si>
  <si>
    <t xml:space="preserve"> PRO-BASKETBALL GAME</t>
  </si>
  <si>
    <t>MISC FAMILY ACTIVITY</t>
  </si>
  <si>
    <t>SPOTIFY</t>
  </si>
  <si>
    <t>TOTAL ENT &amp; TRAVEL</t>
  </si>
  <si>
    <t>DEBT</t>
  </si>
  <si>
    <t>CREDIT CARD</t>
  </si>
  <si>
    <t>TOTAL DEBT</t>
  </si>
  <si>
    <t>TOTAL EXPENSES</t>
  </si>
  <si>
    <t>DOLLARS NEEDING A JOB</t>
  </si>
  <si>
    <t>NOTES:</t>
  </si>
  <si>
    <t>Continue to contribute to your emegerncy fund every month to keep up with inflation</t>
  </si>
  <si>
    <t xml:space="preserve">Books that have helped us on our Financial Independence Journey	</t>
  </si>
  <si>
    <t>AFFILIATE DISCLOSURE: If you use our Amazon links to the books, we may earn a commission if you click through and make a purchase. There will be no additional cost to you, but it will support our channel! The inclusion of affiliate links, however, does not impact our personal opinions as we only promote products (affiliate links or not) that we 100% believe in.</t>
  </si>
  <si>
    <t xml:space="preserve">Stock Market Investing: </t>
  </si>
  <si>
    <t>Name of Book (Hyperlinked to Amazon)</t>
  </si>
  <si>
    <t>Amazon Link to Book</t>
  </si>
  <si>
    <t>https://amzn.to/2UjEc4j</t>
  </si>
  <si>
    <t>https://amzn.to/2MKGokh</t>
  </si>
  <si>
    <t>https://amzn.to/2zIVI8p</t>
  </si>
  <si>
    <t>Real Estate Investing:</t>
  </si>
  <si>
    <t>https://amzn.to/2UkwgQ6</t>
  </si>
  <si>
    <t>https://amzn.to/2ZJQuDW</t>
  </si>
  <si>
    <t>Money Mindset:</t>
  </si>
  <si>
    <t>https://amzn.to/2ZD29IK</t>
  </si>
  <si>
    <t>Debt Freedom:</t>
  </si>
  <si>
    <t>https://amzn.to/2Lc0thn</t>
  </si>
  <si>
    <t>Side Hustles:</t>
  </si>
  <si>
    <t>https://amzn.to/2UnBpqK</t>
  </si>
  <si>
    <t>Econimics:</t>
  </si>
  <si>
    <t>https://amzn.to/2HCnDeJ</t>
  </si>
  <si>
    <t>TAKE HOME PAY (SINGLE)</t>
  </si>
  <si>
    <t>401K LOANS</t>
  </si>
  <si>
    <t>DCU LOAN</t>
  </si>
  <si>
    <t>TAXES</t>
  </si>
  <si>
    <t>FEDERAL</t>
  </si>
  <si>
    <t>SSN</t>
  </si>
  <si>
    <t>MEDICARE</t>
  </si>
  <si>
    <t>STATE</t>
  </si>
  <si>
    <t>TOTAL TAXES</t>
  </si>
  <si>
    <t>GEM EMI</t>
  </si>
  <si>
    <t>USA Net Worth</t>
  </si>
  <si>
    <t>Category</t>
  </si>
  <si>
    <t>Item</t>
  </si>
  <si>
    <t>Value</t>
  </si>
  <si>
    <t>Properties</t>
  </si>
  <si>
    <t>Home</t>
  </si>
  <si>
    <t>Other</t>
  </si>
  <si>
    <t>Retirement Savings</t>
  </si>
  <si>
    <t>Retirement accounts</t>
  </si>
  <si>
    <t>Investments</t>
  </si>
  <si>
    <t>Stocks</t>
  </si>
  <si>
    <t>Bonds</t>
  </si>
  <si>
    <t>Mutual funds</t>
  </si>
  <si>
    <t>Trust funds</t>
  </si>
  <si>
    <t>Life Insurance</t>
  </si>
  <si>
    <t>Health savings account</t>
  </si>
  <si>
    <t>Face value of life insurance policy</t>
  </si>
  <si>
    <t>Cash and Cash Equivalent</t>
  </si>
  <si>
    <t>Checking accounts</t>
  </si>
  <si>
    <t>Cars</t>
  </si>
  <si>
    <t>Other vehicles</t>
  </si>
  <si>
    <t>Furnishings</t>
  </si>
  <si>
    <t>Collectibles</t>
  </si>
  <si>
    <t>Jewelry</t>
  </si>
  <si>
    <t>Other luxury goods</t>
  </si>
  <si>
    <t>Type</t>
  </si>
  <si>
    <t>Mortgages</t>
  </si>
  <si>
    <t>Home equity loans</t>
  </si>
  <si>
    <t>Car loans</t>
  </si>
  <si>
    <t>Personal loans</t>
  </si>
  <si>
    <t>Credit cards</t>
  </si>
  <si>
    <t>Student loans</t>
  </si>
  <si>
    <t>Loans against investments</t>
  </si>
  <si>
    <t>Life insurance loans</t>
  </si>
  <si>
    <t>Other installment loans</t>
  </si>
  <si>
    <t>Other debts</t>
  </si>
  <si>
    <t>Debts</t>
  </si>
  <si>
    <t>Net worth</t>
  </si>
  <si>
    <t>India Net Worth</t>
  </si>
  <si>
    <t>Bhimavaram Apt</t>
  </si>
  <si>
    <t>Uppuluru Site</t>
  </si>
  <si>
    <t>Bhimavaram 4 sites</t>
  </si>
  <si>
    <t>GEM Nakshatra</t>
  </si>
  <si>
    <t>Hyderabad GEM Nakshatra</t>
  </si>
  <si>
    <t>Hyderabad Site</t>
  </si>
  <si>
    <t>Loans against 401K</t>
  </si>
  <si>
    <t>Alekhya Finance</t>
  </si>
  <si>
    <t>Citi savings</t>
  </si>
  <si>
    <t>Treasury direct</t>
  </si>
  <si>
    <t>Chase checking</t>
  </si>
  <si>
    <t>HDFC</t>
  </si>
  <si>
    <t>USD</t>
  </si>
  <si>
    <t>INR</t>
  </si>
  <si>
    <t>SBI SCSS</t>
  </si>
  <si>
    <t>Miyapur land</t>
  </si>
  <si>
    <t>Grand Total</t>
  </si>
  <si>
    <t>Total in USD</t>
  </si>
  <si>
    <t>Total in INR</t>
  </si>
  <si>
    <t>FD</t>
  </si>
  <si>
    <t>FIDELITY</t>
  </si>
  <si>
    <t>Cryptos</t>
  </si>
  <si>
    <t>(Invested values)</t>
  </si>
  <si>
    <t>OUT OF POCKET HEALTHCARE</t>
  </si>
  <si>
    <t>A/R</t>
  </si>
  <si>
    <t>Cash</t>
  </si>
  <si>
    <t>Jan 23</t>
  </si>
  <si>
    <t>Feb 23</t>
  </si>
  <si>
    <t>HDFC Transfer</t>
  </si>
  <si>
    <t>Mar 23</t>
  </si>
  <si>
    <t>Apr 23</t>
  </si>
  <si>
    <t>May 23</t>
  </si>
  <si>
    <t>Jun 23</t>
  </si>
  <si>
    <t>July 23</t>
  </si>
  <si>
    <t>Aug 23</t>
  </si>
  <si>
    <t>Sep 23</t>
  </si>
  <si>
    <t>25,00,000</t>
  </si>
  <si>
    <t>Balance</t>
  </si>
  <si>
    <t>HEALTH INSURANCE(M+D+V)</t>
  </si>
  <si>
    <t>Index funds/ETFS</t>
  </si>
  <si>
    <t>Fixed Asset</t>
  </si>
  <si>
    <t>Liquid Asset</t>
  </si>
  <si>
    <t>Bank Accounts</t>
  </si>
  <si>
    <t>Emergency Fund</t>
  </si>
  <si>
    <t>Gold/Silver</t>
  </si>
  <si>
    <t>Asset Type</t>
  </si>
  <si>
    <t>INDIA TRANSFER</t>
  </si>
  <si>
    <t>Quick Liquid Asset</t>
  </si>
  <si>
    <t>HDFC FD</t>
  </si>
  <si>
    <t>Groceries</t>
  </si>
  <si>
    <t>TV</t>
  </si>
  <si>
    <t xml:space="preserve">Utilities </t>
  </si>
  <si>
    <t>Fridge</t>
  </si>
  <si>
    <t>Bike/Car Maintenance</t>
  </si>
  <si>
    <t>Bike</t>
  </si>
  <si>
    <t>Dining out</t>
  </si>
  <si>
    <t>Activa</t>
  </si>
  <si>
    <t>Car Down</t>
  </si>
  <si>
    <t>Repairs</t>
  </si>
  <si>
    <t>Appliances</t>
  </si>
  <si>
    <t>Maid</t>
  </si>
  <si>
    <t>Misc</t>
  </si>
  <si>
    <t>Shopping</t>
  </si>
  <si>
    <t>CarEMI</t>
  </si>
  <si>
    <t>Total</t>
  </si>
  <si>
    <t>15,00,000</t>
  </si>
  <si>
    <t>Kids School</t>
  </si>
  <si>
    <t>Apartment maintenance</t>
  </si>
  <si>
    <t>Term/Health insurance</t>
  </si>
  <si>
    <t>Travel/Functions</t>
  </si>
  <si>
    <t>Monthly breakup</t>
  </si>
  <si>
    <t>Kids curricular</t>
  </si>
  <si>
    <t>2,50,000</t>
  </si>
  <si>
    <t>Misc/Emergency</t>
  </si>
  <si>
    <t>Furnitre</t>
  </si>
  <si>
    <t>Stocks/MF/ETFS</t>
  </si>
  <si>
    <t>max</t>
  </si>
  <si>
    <t>min</t>
  </si>
  <si>
    <t xml:space="preserve">Bike </t>
  </si>
  <si>
    <t>BVRM</t>
  </si>
  <si>
    <t>Uppuluru Farm Land</t>
  </si>
  <si>
    <t>avg</t>
  </si>
  <si>
    <t>Fidelity Traditional IRA</t>
  </si>
  <si>
    <t>600*.8</t>
  </si>
  <si>
    <t>As of 08/31/2025</t>
  </si>
  <si>
    <t>346000*.7</t>
  </si>
  <si>
    <t>79500*.85</t>
  </si>
  <si>
    <t>72860*.7</t>
  </si>
  <si>
    <t>original</t>
  </si>
  <si>
    <t>USD-INR - 88</t>
  </si>
  <si>
    <t>Union Bank</t>
  </si>
  <si>
    <t>13,55,22,344</t>
  </si>
  <si>
    <t>NETFLIX+Training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</si>
</sst>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164" formatCode="&quot;$&quot;#,##0.00"/>
    <numFmt numFmtId="165" formatCode="&quot;$&quot;#,##0"/>
    <numFmt numFmtId="166" formatCode="&quot;$&quot;#,##0.0"/>
    <numFmt numFmtId="167" formatCode="0_);\(0\)"/>
    <numFmt numFmtId="168" formatCode="0;[Red]0"/>
  </numFmts>
  <fonts count="65">
    <font>
      <sz val="10"/>
      <color rgb="FF000000"/>
      <name val="Arial"/>
    </font>
    <font>
      <b/>
      <sz val="16"/>
      <color rgb="FF000000"/>
      <name val="Comfortaa"/>
    </font>
    <font>
      <b/>
      <sz val="10"/>
      <name val="Open Sans"/>
    </font>
    <font>
      <sz val="10"/>
      <name val="Open Sans"/>
    </font>
    <font>
      <b/>
      <sz val="18"/>
      <color rgb="FF000000"/>
      <name val="Comfortaa"/>
    </font>
    <font>
      <sz val="10"/>
      <name val="Arial"/>
      <family val="2"/>
    </font>
    <font>
      <b/>
      <sz val="8"/>
      <name val="Open Sans"/>
    </font>
    <font>
      <b/>
      <u/>
      <sz val="12"/>
      <color rgb="FF000000"/>
      <name val="Open Sans"/>
    </font>
    <font>
      <b/>
      <u/>
      <sz val="12"/>
      <color rgb="FF000000"/>
      <name val="Open Sans"/>
    </font>
    <font>
      <sz val="10"/>
      <color rgb="FF000000"/>
      <name val="Open Sans"/>
    </font>
    <font>
      <sz val="12"/>
      <name val="Arial"/>
      <family val="2"/>
    </font>
    <font>
      <b/>
      <u/>
      <sz val="12"/>
      <color rgb="FF000000"/>
      <name val="Open Sans"/>
    </font>
    <font>
      <sz val="11"/>
      <color rgb="FF000000"/>
      <name val="Open Sans"/>
    </font>
    <font>
      <sz val="12"/>
      <color rgb="FF000000"/>
      <name val="Open Sans"/>
    </font>
    <font>
      <b/>
      <sz val="11"/>
      <color rgb="FF000000"/>
      <name val="Open Sans"/>
    </font>
    <font>
      <b/>
      <sz val="12"/>
      <color rgb="FF000000"/>
      <name val="Open Sans"/>
    </font>
    <font>
      <b/>
      <i/>
      <sz val="12"/>
      <color rgb="FF000000"/>
      <name val="Open Sans"/>
    </font>
    <font>
      <b/>
      <u/>
      <sz val="12"/>
      <color rgb="FF000000"/>
      <name val="Open Sans"/>
    </font>
    <font>
      <b/>
      <u/>
      <sz val="12"/>
      <color rgb="FF000000"/>
      <name val="Open Sans"/>
    </font>
    <font>
      <sz val="11"/>
      <color rgb="FF333333"/>
      <name val="Open Sans"/>
    </font>
    <font>
      <b/>
      <u/>
      <sz val="12"/>
      <color rgb="FF000000"/>
      <name val="Open Sans"/>
    </font>
    <font>
      <b/>
      <u/>
      <sz val="12"/>
      <color rgb="FF000000"/>
      <name val="Open Sans"/>
    </font>
    <font>
      <b/>
      <u/>
      <sz val="12"/>
      <color rgb="FF000000"/>
      <name val="Open Sans"/>
    </font>
    <font>
      <sz val="10"/>
      <color rgb="FF000000"/>
      <name val="Arial"/>
      <family val="2"/>
    </font>
    <font>
      <b/>
      <u/>
      <sz val="12"/>
      <color rgb="FF000000"/>
      <name val="Open Sans"/>
    </font>
    <font>
      <b/>
      <u/>
      <sz val="12"/>
      <color rgb="FF000000"/>
      <name val="Open Sans"/>
    </font>
    <font>
      <sz val="11"/>
      <name val="Open Sans"/>
    </font>
    <font>
      <sz val="12"/>
      <name val="Open Sans"/>
    </font>
    <font>
      <b/>
      <sz val="11"/>
      <name val="Open Sans"/>
    </font>
    <font>
      <b/>
      <sz val="12"/>
      <name val="Open Sans"/>
    </font>
    <font>
      <b/>
      <sz val="12"/>
      <color rgb="FF000000"/>
      <name val="Arial"/>
      <family val="2"/>
    </font>
    <font>
      <sz val="11"/>
      <color rgb="FF000000"/>
      <name val="Arial"/>
      <family val="2"/>
    </font>
    <font>
      <b/>
      <sz val="11"/>
      <name val="Arial"/>
      <family val="2"/>
    </font>
    <font>
      <b/>
      <sz val="11"/>
      <color rgb="FF111111"/>
      <name val="Arial"/>
      <family val="2"/>
    </font>
    <font>
      <u/>
      <sz val="11"/>
      <color rgb="FF111111"/>
      <name val="Arial"/>
      <family val="2"/>
    </font>
    <font>
      <u/>
      <sz val="11"/>
      <color rgb="FF0000FF"/>
      <name val="Arial"/>
      <family val="2"/>
    </font>
    <font>
      <sz val="12"/>
      <color rgb="FF000000"/>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b/>
      <i/>
      <sz val="12"/>
      <color theme="1"/>
      <name val="Open Sans"/>
    </font>
    <font>
      <b/>
      <sz val="12"/>
      <color theme="1"/>
      <name val="Open Sans"/>
    </font>
    <font>
      <b/>
      <u/>
      <sz val="12"/>
      <color theme="1"/>
      <name val="Open Sans"/>
    </font>
    <font>
      <sz val="8"/>
      <name val="Arial"/>
      <family val="2"/>
    </font>
    <font>
      <sz val="18"/>
      <color rgb="FF000000"/>
      <name val="Arial"/>
      <family val="2"/>
    </font>
    <font>
      <b/>
      <sz val="16"/>
      <color rgb="FF000000"/>
      <name val="Calibri"/>
      <family val="2"/>
      <scheme val="minor"/>
    </font>
    <font>
      <sz val="12"/>
      <color rgb="FF000000"/>
      <name val="Open Sans"/>
      <charset val="1"/>
    </font>
    <font>
      <sz val="14"/>
      <color rgb="FF000000"/>
      <name val="Arial"/>
      <family val="2"/>
    </font>
    <font>
      <i/>
      <sz val="14"/>
      <color rgb="FF000000"/>
      <name val="Arial"/>
      <family val="2"/>
    </font>
    <font>
      <sz val="10"/>
      <color theme="1"/>
      <name val="Arial"/>
      <family val="2"/>
    </font>
    <font>
      <sz val="16"/>
      <color theme="1" tint="0.14999847407452621"/>
      <name val="Calibri"/>
      <family val="2"/>
      <scheme val="minor"/>
    </font>
    <font>
      <b/>
      <sz val="16"/>
      <color rgb="FF00B050"/>
      <name val="Calibri"/>
      <family val="2"/>
      <scheme val="minor"/>
    </font>
    <font>
      <b/>
      <i/>
      <sz val="16"/>
      <color rgb="FF000000"/>
      <name val="Arial"/>
      <family val="2"/>
    </font>
    <font>
      <i/>
      <sz val="16"/>
      <color rgb="FF000000"/>
      <name val="Arial"/>
      <family val="2"/>
    </font>
    <font>
      <sz val="16"/>
      <color rgb="FF000000"/>
      <name val="Arial"/>
      <family val="2"/>
    </font>
    <font>
      <sz val="16"/>
      <color theme="1"/>
      <name val="Arial"/>
      <family val="2"/>
    </font>
    <font>
      <b/>
      <sz val="12"/>
      <color rgb="FF000000"/>
      <name val="Calibri"/>
      <family val="2"/>
      <scheme val="minor"/>
    </font>
    <font>
      <sz val="11"/>
      <color rgb="FF000000"/>
      <name val="Calibri"/>
      <family val="2"/>
      <charset val="1"/>
    </font>
    <font>
      <sz val="18"/>
      <color rgb="FF000000"/>
      <name val="Calibri"/>
      <family val="2"/>
      <charset val="1"/>
    </font>
    <font>
      <b/>
      <sz val="18"/>
      <color rgb="FF000000"/>
      <name val="Calibri"/>
      <family val="2"/>
    </font>
    <font>
      <sz val="16"/>
      <color rgb="FF00B050"/>
      <name val="Arial"/>
      <family val="2"/>
    </font>
    <font>
      <sz val="14"/>
      <color rgb="FF00B050"/>
      <name val="Arial"/>
      <family val="2"/>
    </font>
  </fonts>
  <fills count="24">
    <fill>
      <patternFill patternType="none"/>
    </fill>
    <fill>
      <patternFill patternType="gray125"/>
    </fill>
    <fill>
      <patternFill patternType="solid">
        <fgColor rgb="FFC9DAF8"/>
        <bgColor rgb="FFC9DAF8"/>
      </patternFill>
    </fill>
    <fill>
      <patternFill patternType="solid">
        <fgColor rgb="FFFFE599"/>
        <bgColor rgb="FFFFE599"/>
      </patternFill>
    </fill>
    <fill>
      <patternFill patternType="solid">
        <fgColor rgb="FFFFFFFF"/>
        <bgColor rgb="FFFFFFFF"/>
      </patternFill>
    </fill>
    <fill>
      <patternFill patternType="solid">
        <fgColor rgb="FFFFD966"/>
        <bgColor rgb="FFFFD966"/>
      </patternFill>
    </fill>
    <fill>
      <patternFill patternType="solid">
        <fgColor rgb="FFB6D7A8"/>
        <bgColor rgb="FFB6D7A8"/>
      </patternFill>
    </fill>
    <fill>
      <patternFill patternType="solid">
        <fgColor rgb="FF93C47D"/>
        <bgColor rgb="FF93C47D"/>
      </patternFill>
    </fill>
    <fill>
      <patternFill patternType="solid">
        <fgColor rgb="FFF4CCCC"/>
        <bgColor rgb="FFF4CCCC"/>
      </patternFill>
    </fill>
    <fill>
      <patternFill patternType="solid">
        <fgColor rgb="FFFFFF00"/>
        <bgColor rgb="FFFFFF00"/>
      </patternFill>
    </fill>
    <fill>
      <patternFill patternType="solid">
        <fgColor rgb="FF999999"/>
        <bgColor rgb="FF999999"/>
      </patternFill>
    </fill>
    <fill>
      <patternFill patternType="solid">
        <fgColor rgb="FFC27BA0"/>
        <bgColor rgb="FFC27BA0"/>
      </patternFill>
    </fill>
    <fill>
      <patternFill patternType="solid">
        <fgColor rgb="FFF1C232"/>
        <bgColor rgb="FFF1C232"/>
      </patternFill>
    </fill>
    <fill>
      <patternFill patternType="solid">
        <fgColor rgb="FFCFE2F3"/>
        <bgColor rgb="FFCFE2F3"/>
      </patternFill>
    </fill>
    <fill>
      <patternFill patternType="solid">
        <fgColor rgb="FF63D297"/>
        <bgColor rgb="FF63D297"/>
      </patternFill>
    </fill>
    <fill>
      <patternFill patternType="solid">
        <fgColor rgb="FFE7F9EF"/>
        <bgColor rgb="FFE7F9EF"/>
      </patternFill>
    </fill>
    <fill>
      <patternFill patternType="solid">
        <fgColor theme="0"/>
        <bgColor rgb="FFF1C232"/>
      </patternFill>
    </fill>
    <fill>
      <patternFill patternType="solid">
        <fgColor rgb="FFFF0000"/>
        <bgColor rgb="FFF1C232"/>
      </patternFill>
    </fill>
    <fill>
      <patternFill patternType="solid">
        <fgColor rgb="FFFF0000"/>
        <bgColor indexed="64"/>
      </patternFill>
    </fill>
    <fill>
      <patternFill patternType="solid">
        <fgColor theme="0" tint="-4.9989318521683403E-2"/>
        <bgColor theme="0" tint="-0.14996795556505021"/>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FF00"/>
        <bgColor rgb="FF000000"/>
      </patternFill>
    </fill>
  </fills>
  <borders count="4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bottom style="thin">
        <color theme="1"/>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theme="1"/>
      </right>
      <top style="thin">
        <color indexed="64"/>
      </top>
      <bottom/>
      <diagonal/>
    </border>
    <border>
      <left style="thin">
        <color theme="1"/>
      </left>
      <right/>
      <top style="thin">
        <color indexed="64"/>
      </top>
      <bottom/>
      <diagonal/>
    </border>
    <border>
      <left/>
      <right/>
      <top/>
      <bottom style="thin">
        <color indexed="64"/>
      </bottom>
      <diagonal/>
    </border>
  </borders>
  <cellStyleXfs count="1">
    <xf numFmtId="0" fontId="0" fillId="0" borderId="0"/>
  </cellStyleXfs>
  <cellXfs count="218">
    <xf numFmtId="0" fontId="0" fillId="0" borderId="0" xfId="0"/>
    <xf numFmtId="0" fontId="1" fillId="0" borderId="0" xfId="0" applyFont="1" applyAlignment="1">
      <alignment horizontal="center"/>
    </xf>
    <xf numFmtId="0" fontId="3" fillId="0" borderId="0" xfId="0" applyFont="1"/>
    <xf numFmtId="0" fontId="1" fillId="0" borderId="0" xfId="0" applyFont="1" applyAlignment="1">
      <alignment horizontal="center" wrapText="1"/>
    </xf>
    <xf numFmtId="0" fontId="7" fillId="0" borderId="0" xfId="0" applyFont="1" applyAlignment="1">
      <alignment horizontal="center"/>
    </xf>
    <xf numFmtId="0" fontId="8" fillId="0" borderId="7" xfId="0" applyFont="1" applyBorder="1" applyAlignment="1">
      <alignment horizontal="center"/>
    </xf>
    <xf numFmtId="0" fontId="9" fillId="0" borderId="8" xfId="0" applyFont="1" applyBorder="1"/>
    <xf numFmtId="0" fontId="5" fillId="0" borderId="7" xfId="0" applyFont="1" applyBorder="1"/>
    <xf numFmtId="0" fontId="10" fillId="3" borderId="9" xfId="0" applyFont="1" applyFill="1" applyBorder="1"/>
    <xf numFmtId="0" fontId="11" fillId="3" borderId="9" xfId="0" applyFont="1" applyFill="1" applyBorder="1" applyAlignment="1">
      <alignment horizontal="center"/>
    </xf>
    <xf numFmtId="0" fontId="12" fillId="0" borderId="0" xfId="0" applyFont="1" applyAlignment="1">
      <alignment horizontal="right"/>
    </xf>
    <xf numFmtId="0" fontId="12" fillId="0" borderId="7" xfId="0" applyFont="1" applyBorder="1" applyAlignment="1">
      <alignment horizontal="right"/>
    </xf>
    <xf numFmtId="0" fontId="13" fillId="0" borderId="9" xfId="0" applyFont="1" applyBorder="1" applyAlignment="1">
      <alignment horizontal="right"/>
    </xf>
    <xf numFmtId="165" fontId="13" fillId="0" borderId="9" xfId="0" applyNumberFormat="1" applyFont="1" applyBorder="1"/>
    <xf numFmtId="0" fontId="3" fillId="0" borderId="8" xfId="0" applyFont="1" applyBorder="1"/>
    <xf numFmtId="0" fontId="14" fillId="0" borderId="0" xfId="0" applyFont="1" applyAlignment="1">
      <alignment horizontal="right"/>
    </xf>
    <xf numFmtId="0" fontId="14" fillId="0" borderId="7" xfId="0" applyFont="1" applyBorder="1" applyAlignment="1">
      <alignment horizontal="right"/>
    </xf>
    <xf numFmtId="0" fontId="15" fillId="5" borderId="9" xfId="0" applyFont="1" applyFill="1" applyBorder="1" applyAlignment="1">
      <alignment horizontal="right"/>
    </xf>
    <xf numFmtId="165" fontId="15" fillId="5" borderId="9" xfId="0" applyNumberFormat="1" applyFont="1" applyFill="1" applyBorder="1"/>
    <xf numFmtId="0" fontId="16" fillId="0" borderId="0" xfId="0" applyFont="1"/>
    <xf numFmtId="0" fontId="16" fillId="0" borderId="7" xfId="0" applyFont="1" applyBorder="1"/>
    <xf numFmtId="0" fontId="16" fillId="6" borderId="9" xfId="0" applyFont="1" applyFill="1" applyBorder="1"/>
    <xf numFmtId="0" fontId="17" fillId="6" borderId="9" xfId="0" applyFont="1" applyFill="1" applyBorder="1" applyAlignment="1">
      <alignment horizontal="center"/>
    </xf>
    <xf numFmtId="0" fontId="15" fillId="7" borderId="9" xfId="0" applyFont="1" applyFill="1" applyBorder="1" applyAlignment="1">
      <alignment horizontal="right"/>
    </xf>
    <xf numFmtId="165" fontId="15" fillId="7" borderId="9" xfId="0" applyNumberFormat="1" applyFont="1" applyFill="1" applyBorder="1"/>
    <xf numFmtId="9" fontId="3" fillId="3" borderId="9" xfId="0" applyNumberFormat="1" applyFont="1" applyFill="1" applyBorder="1" applyAlignment="1">
      <alignment horizontal="center"/>
    </xf>
    <xf numFmtId="0" fontId="16" fillId="2" borderId="9" xfId="0" applyFont="1" applyFill="1" applyBorder="1"/>
    <xf numFmtId="0" fontId="18" fillId="2" borderId="9" xfId="0" applyFont="1" applyFill="1" applyBorder="1" applyAlignment="1">
      <alignment horizontal="center"/>
    </xf>
    <xf numFmtId="0" fontId="12" fillId="4" borderId="8" xfId="0" applyFont="1" applyFill="1" applyBorder="1" applyAlignment="1">
      <alignment wrapText="1"/>
    </xf>
    <xf numFmtId="0" fontId="19" fillId="4" borderId="0" xfId="0" applyFont="1" applyFill="1" applyAlignment="1">
      <alignment wrapText="1"/>
    </xf>
    <xf numFmtId="0" fontId="3" fillId="0" borderId="13" xfId="0" applyFont="1" applyBorder="1"/>
    <xf numFmtId="0" fontId="3" fillId="0" borderId="1" xfId="0" applyFont="1" applyBorder="1"/>
    <xf numFmtId="0" fontId="3" fillId="0" borderId="2" xfId="0" applyFont="1" applyBorder="1"/>
    <xf numFmtId="0" fontId="3" fillId="0" borderId="3" xfId="0" applyFont="1" applyBorder="1"/>
    <xf numFmtId="0" fontId="3" fillId="0" borderId="14" xfId="0" applyFont="1" applyBorder="1"/>
    <xf numFmtId="0" fontId="3" fillId="0" borderId="7" xfId="0" applyFont="1" applyBorder="1"/>
    <xf numFmtId="165" fontId="3" fillId="0" borderId="0" xfId="0" applyNumberFormat="1" applyFont="1"/>
    <xf numFmtId="10" fontId="3" fillId="0" borderId="8" xfId="0" applyNumberFormat="1" applyFont="1" applyBorder="1"/>
    <xf numFmtId="0" fontId="15" fillId="2" borderId="9" xfId="0" applyFont="1" applyFill="1" applyBorder="1" applyAlignment="1">
      <alignment horizontal="right"/>
    </xf>
    <xf numFmtId="165" fontId="15" fillId="2" borderId="9" xfId="0" applyNumberFormat="1" applyFont="1" applyFill="1" applyBorder="1"/>
    <xf numFmtId="0" fontId="16" fillId="8" borderId="10" xfId="0" applyFont="1" applyFill="1" applyBorder="1"/>
    <xf numFmtId="0" fontId="20" fillId="8" borderId="9" xfId="0" applyFont="1" applyFill="1" applyBorder="1" applyAlignment="1">
      <alignment horizontal="center"/>
    </xf>
    <xf numFmtId="0" fontId="3" fillId="0" borderId="15" xfId="0" applyFont="1" applyBorder="1"/>
    <xf numFmtId="0" fontId="3" fillId="0" borderId="4" xfId="0" applyFont="1" applyBorder="1"/>
    <xf numFmtId="166" fontId="3" fillId="0" borderId="5" xfId="0" applyNumberFormat="1" applyFont="1" applyBorder="1"/>
    <xf numFmtId="10" fontId="3" fillId="0" borderId="6" xfId="0" applyNumberFormat="1" applyFont="1" applyBorder="1"/>
    <xf numFmtId="0" fontId="15" fillId="8" borderId="9" xfId="0" applyFont="1" applyFill="1" applyBorder="1" applyAlignment="1">
      <alignment horizontal="right"/>
    </xf>
    <xf numFmtId="165" fontId="15" fillId="8" borderId="9" xfId="0" applyNumberFormat="1" applyFont="1" applyFill="1" applyBorder="1"/>
    <xf numFmtId="0" fontId="16" fillId="9" borderId="10" xfId="0" applyFont="1" applyFill="1" applyBorder="1"/>
    <xf numFmtId="0" fontId="21" fillId="9" borderId="9" xfId="0" applyFont="1" applyFill="1" applyBorder="1" applyAlignment="1">
      <alignment horizontal="center"/>
    </xf>
    <xf numFmtId="0" fontId="15" fillId="9" borderId="9" xfId="0" applyFont="1" applyFill="1" applyBorder="1" applyAlignment="1">
      <alignment horizontal="right"/>
    </xf>
    <xf numFmtId="165" fontId="15" fillId="9" borderId="9" xfId="0" applyNumberFormat="1" applyFont="1" applyFill="1" applyBorder="1"/>
    <xf numFmtId="0" fontId="16" fillId="10" borderId="9" xfId="0" applyFont="1" applyFill="1" applyBorder="1"/>
    <xf numFmtId="0" fontId="22" fillId="10" borderId="9" xfId="0" applyFont="1" applyFill="1" applyBorder="1" applyAlignment="1">
      <alignment horizontal="center"/>
    </xf>
    <xf numFmtId="0" fontId="15" fillId="10" borderId="9" xfId="0" applyFont="1" applyFill="1" applyBorder="1" applyAlignment="1">
      <alignment horizontal="right"/>
    </xf>
    <xf numFmtId="165" fontId="15" fillId="10" borderId="9" xfId="0" applyNumberFormat="1" applyFont="1" applyFill="1" applyBorder="1"/>
    <xf numFmtId="0" fontId="16" fillId="11" borderId="9" xfId="0" applyFont="1" applyFill="1" applyBorder="1"/>
    <xf numFmtId="0" fontId="24" fillId="11" borderId="9" xfId="0" applyFont="1" applyFill="1" applyBorder="1" applyAlignment="1">
      <alignment horizontal="center"/>
    </xf>
    <xf numFmtId="0" fontId="15" fillId="11" borderId="9" xfId="0" applyFont="1" applyFill="1" applyBorder="1" applyAlignment="1">
      <alignment horizontal="right"/>
    </xf>
    <xf numFmtId="165" fontId="15" fillId="11" borderId="9" xfId="0" applyNumberFormat="1" applyFont="1" applyFill="1" applyBorder="1"/>
    <xf numFmtId="0" fontId="16" fillId="12" borderId="10" xfId="0" applyFont="1" applyFill="1" applyBorder="1"/>
    <xf numFmtId="0" fontId="25" fillId="12" borderId="9" xfId="0" applyFont="1" applyFill="1" applyBorder="1" applyAlignment="1">
      <alignment horizontal="center"/>
    </xf>
    <xf numFmtId="166" fontId="13" fillId="0" borderId="9" xfId="0" applyNumberFormat="1" applyFont="1" applyBorder="1"/>
    <xf numFmtId="0" fontId="26" fillId="0" borderId="0" xfId="0" applyFont="1"/>
    <xf numFmtId="0" fontId="26" fillId="0" borderId="7" xfId="0" applyFont="1" applyBorder="1"/>
    <xf numFmtId="0" fontId="26" fillId="0" borderId="0" xfId="0" applyFont="1" applyAlignment="1">
      <alignment horizontal="right"/>
    </xf>
    <xf numFmtId="0" fontId="26" fillId="0" borderId="7" xfId="0" applyFont="1" applyBorder="1" applyAlignment="1">
      <alignment horizontal="right"/>
    </xf>
    <xf numFmtId="0" fontId="27" fillId="0" borderId="9" xfId="0" applyFont="1" applyBorder="1" applyAlignment="1">
      <alignment horizontal="right"/>
    </xf>
    <xf numFmtId="165" fontId="27" fillId="0" borderId="9" xfId="0" applyNumberFormat="1" applyFont="1" applyBorder="1"/>
    <xf numFmtId="0" fontId="28" fillId="0" borderId="0" xfId="0" applyFont="1" applyAlignment="1">
      <alignment horizontal="right"/>
    </xf>
    <xf numFmtId="0" fontId="28" fillId="0" borderId="7" xfId="0" applyFont="1" applyBorder="1" applyAlignment="1">
      <alignment horizontal="right"/>
    </xf>
    <xf numFmtId="0" fontId="29" fillId="13" borderId="9" xfId="0" applyFont="1" applyFill="1" applyBorder="1" applyAlignment="1">
      <alignment horizontal="right"/>
    </xf>
    <xf numFmtId="165" fontId="29" fillId="13" borderId="9" xfId="0" applyNumberFormat="1" applyFont="1" applyFill="1" applyBorder="1"/>
    <xf numFmtId="0" fontId="27" fillId="0" borderId="5" xfId="0" applyFont="1" applyBorder="1"/>
    <xf numFmtId="0" fontId="3" fillId="0" borderId="6" xfId="0" applyFont="1" applyBorder="1"/>
    <xf numFmtId="0" fontId="27" fillId="0" borderId="0" xfId="0" applyFont="1"/>
    <xf numFmtId="0" fontId="9" fillId="0" borderId="0" xfId="0" applyFont="1"/>
    <xf numFmtId="0" fontId="33" fillId="15" borderId="9" xfId="0" applyFont="1" applyFill="1" applyBorder="1" applyAlignment="1">
      <alignment horizontal="center"/>
    </xf>
    <xf numFmtId="0" fontId="34" fillId="4" borderId="9" xfId="0" applyFont="1" applyFill="1" applyBorder="1"/>
    <xf numFmtId="0" fontId="35" fillId="4" borderId="9" xfId="0" applyFont="1" applyFill="1" applyBorder="1" applyAlignment="1">
      <alignment horizontal="left"/>
    </xf>
    <xf numFmtId="0" fontId="36" fillId="4" borderId="9" xfId="0" applyFont="1" applyFill="1" applyBorder="1" applyAlignment="1">
      <alignment horizontal="center"/>
    </xf>
    <xf numFmtId="0" fontId="37" fillId="15" borderId="9" xfId="0" applyFont="1" applyFill="1" applyBorder="1"/>
    <xf numFmtId="0" fontId="38" fillId="15" borderId="9" xfId="0" applyFont="1" applyFill="1" applyBorder="1"/>
    <xf numFmtId="0" fontId="36" fillId="15" borderId="9" xfId="0" applyFont="1" applyFill="1" applyBorder="1" applyAlignment="1">
      <alignment horizontal="center"/>
    </xf>
    <xf numFmtId="0" fontId="39" fillId="4" borderId="9" xfId="0" applyFont="1" applyFill="1" applyBorder="1"/>
    <xf numFmtId="0" fontId="40" fillId="4" borderId="9" xfId="0" applyFont="1" applyFill="1" applyBorder="1"/>
    <xf numFmtId="0" fontId="41" fillId="15" borderId="9" xfId="0" applyFont="1" applyFill="1" applyBorder="1" applyAlignment="1">
      <alignment horizontal="left"/>
    </xf>
    <xf numFmtId="0" fontId="42" fillId="15" borderId="9" xfId="0" applyFont="1" applyFill="1" applyBorder="1" applyAlignment="1">
      <alignment horizontal="left"/>
    </xf>
    <xf numFmtId="0" fontId="3" fillId="15" borderId="9" xfId="0" applyFont="1" applyFill="1" applyBorder="1"/>
    <xf numFmtId="0" fontId="13" fillId="0" borderId="13" xfId="0" applyFont="1" applyBorder="1" applyAlignment="1">
      <alignment horizontal="right"/>
    </xf>
    <xf numFmtId="166" fontId="13" fillId="0" borderId="13" xfId="0" applyNumberFormat="1" applyFont="1" applyBorder="1"/>
    <xf numFmtId="0" fontId="15" fillId="12" borderId="13" xfId="0" applyFont="1" applyFill="1" applyBorder="1" applyAlignment="1">
      <alignment horizontal="right"/>
    </xf>
    <xf numFmtId="166" fontId="15" fillId="12" borderId="13" xfId="0" applyNumberFormat="1" applyFont="1" applyFill="1" applyBorder="1"/>
    <xf numFmtId="0" fontId="13" fillId="16" borderId="16" xfId="0" applyFont="1" applyFill="1" applyBorder="1" applyAlignment="1">
      <alignment horizontal="right"/>
    </xf>
    <xf numFmtId="166" fontId="13" fillId="16" borderId="16" xfId="0" applyNumberFormat="1" applyFont="1" applyFill="1" applyBorder="1"/>
    <xf numFmtId="0" fontId="44" fillId="17" borderId="13" xfId="0" applyFont="1" applyFill="1" applyBorder="1" applyAlignment="1">
      <alignment horizontal="right"/>
    </xf>
    <xf numFmtId="0" fontId="43" fillId="17" borderId="16" xfId="0" applyFont="1" applyFill="1" applyBorder="1" applyAlignment="1">
      <alignment horizontal="left"/>
    </xf>
    <xf numFmtId="166" fontId="15" fillId="17" borderId="16" xfId="0" applyNumberFormat="1" applyFont="1" applyFill="1" applyBorder="1"/>
    <xf numFmtId="0" fontId="23" fillId="0" borderId="0" xfId="0" applyFont="1"/>
    <xf numFmtId="164" fontId="0" fillId="0" borderId="0" xfId="0" applyNumberFormat="1"/>
    <xf numFmtId="6" fontId="45" fillId="18" borderId="0" xfId="0" applyNumberFormat="1" applyFont="1" applyFill="1" applyAlignment="1">
      <alignment horizontal="right"/>
    </xf>
    <xf numFmtId="6" fontId="0" fillId="0" borderId="0" xfId="0" applyNumberFormat="1"/>
    <xf numFmtId="0" fontId="3" fillId="0" borderId="17" xfId="0" applyFont="1" applyBorder="1" applyAlignment="1">
      <alignment horizontal="right"/>
    </xf>
    <xf numFmtId="165" fontId="3" fillId="0" borderId="18" xfId="0" applyNumberFormat="1" applyFont="1" applyBorder="1"/>
    <xf numFmtId="10" fontId="3" fillId="0" borderId="19" xfId="0" applyNumberFormat="1" applyFont="1" applyBorder="1"/>
    <xf numFmtId="0" fontId="47" fillId="0" borderId="0" xfId="0" applyFont="1"/>
    <xf numFmtId="0" fontId="48" fillId="20" borderId="16" xfId="0" applyFont="1" applyFill="1" applyBorder="1" applyAlignment="1">
      <alignment horizontal="right"/>
    </xf>
    <xf numFmtId="0" fontId="48" fillId="21" borderId="16" xfId="0" applyFont="1" applyFill="1" applyBorder="1" applyAlignment="1">
      <alignment horizontal="right"/>
    </xf>
    <xf numFmtId="0" fontId="49" fillId="4" borderId="9" xfId="0" applyFont="1" applyFill="1" applyBorder="1" applyAlignment="1">
      <alignment horizontal="right"/>
    </xf>
    <xf numFmtId="0" fontId="0" fillId="0" borderId="24" xfId="0" applyBorder="1"/>
    <xf numFmtId="0" fontId="0" fillId="0" borderId="27" xfId="0" applyBorder="1"/>
    <xf numFmtId="0" fontId="50" fillId="0" borderId="16" xfId="0" applyFont="1" applyBorder="1"/>
    <xf numFmtId="0" fontId="50" fillId="0" borderId="16" xfId="0" applyFont="1" applyBorder="1" applyAlignment="1">
      <alignment horizontal="right"/>
    </xf>
    <xf numFmtId="0" fontId="51" fillId="0" borderId="0" xfId="0" applyFont="1"/>
    <xf numFmtId="0" fontId="0" fillId="0" borderId="30" xfId="0" applyBorder="1"/>
    <xf numFmtId="0" fontId="52" fillId="21" borderId="22" xfId="0" applyFont="1" applyFill="1" applyBorder="1"/>
    <xf numFmtId="16" fontId="23" fillId="0" borderId="24" xfId="0" quotePrefix="1" applyNumberFormat="1" applyFont="1" applyBorder="1"/>
    <xf numFmtId="0" fontId="0" fillId="0" borderId="25" xfId="0" applyBorder="1"/>
    <xf numFmtId="0" fontId="23" fillId="0" borderId="28" xfId="0" applyFont="1" applyBorder="1"/>
    <xf numFmtId="0" fontId="0" fillId="0" borderId="29" xfId="0" applyBorder="1"/>
    <xf numFmtId="0" fontId="23" fillId="0" borderId="23" xfId="0" applyFont="1" applyBorder="1" applyAlignment="1">
      <alignment horizontal="right"/>
    </xf>
    <xf numFmtId="0" fontId="53" fillId="0" borderId="20" xfId="0" applyFont="1" applyBorder="1" applyAlignment="1">
      <alignment horizontal="left" vertical="center" indent="1"/>
    </xf>
    <xf numFmtId="0" fontId="53" fillId="0" borderId="28" xfId="0" applyFont="1" applyBorder="1" applyAlignment="1">
      <alignment horizontal="left" vertical="center" indent="1"/>
    </xf>
    <xf numFmtId="0" fontId="55" fillId="0" borderId="0" xfId="0" applyFont="1"/>
    <xf numFmtId="0" fontId="57" fillId="0" borderId="0" xfId="0" applyFont="1"/>
    <xf numFmtId="0" fontId="57" fillId="0" borderId="24" xfId="0" applyFont="1" applyBorder="1"/>
    <xf numFmtId="0" fontId="57" fillId="0" borderId="26" xfId="0" applyFont="1" applyBorder="1"/>
    <xf numFmtId="0" fontId="55" fillId="0" borderId="27" xfId="0" applyFont="1" applyBorder="1"/>
    <xf numFmtId="0" fontId="50" fillId="0" borderId="31" xfId="0" applyFont="1" applyBorder="1"/>
    <xf numFmtId="0" fontId="57" fillId="0" borderId="16" xfId="0" applyFont="1" applyBorder="1"/>
    <xf numFmtId="0" fontId="0" fillId="0" borderId="16" xfId="0" applyBorder="1"/>
    <xf numFmtId="0" fontId="55" fillId="0" borderId="16" xfId="0" applyFont="1" applyBorder="1"/>
    <xf numFmtId="0" fontId="56" fillId="0" borderId="16" xfId="0" applyFont="1" applyBorder="1"/>
    <xf numFmtId="0" fontId="53" fillId="0" borderId="16" xfId="0" applyFont="1" applyBorder="1" applyAlignment="1">
      <alignment horizontal="left" vertical="center" indent="1"/>
    </xf>
    <xf numFmtId="0" fontId="53" fillId="22" borderId="16" xfId="0" applyFont="1" applyFill="1" applyBorder="1" applyAlignment="1">
      <alignment horizontal="left" vertical="center" indent="1"/>
    </xf>
    <xf numFmtId="168" fontId="57" fillId="0" borderId="16" xfId="0" applyNumberFormat="1" applyFont="1" applyBorder="1"/>
    <xf numFmtId="168" fontId="0" fillId="0" borderId="0" xfId="0" applyNumberFormat="1"/>
    <xf numFmtId="168" fontId="0" fillId="0" borderId="16" xfId="0" applyNumberFormat="1" applyBorder="1" applyAlignment="1">
      <alignment horizontal="right"/>
    </xf>
    <xf numFmtId="168" fontId="53" fillId="19" borderId="16" xfId="0" applyNumberFormat="1" applyFont="1" applyFill="1" applyBorder="1" applyAlignment="1">
      <alignment horizontal="right" vertical="center"/>
    </xf>
    <xf numFmtId="168" fontId="53" fillId="0" borderId="16" xfId="0" applyNumberFormat="1" applyFont="1" applyBorder="1" applyAlignment="1">
      <alignment horizontal="right" vertical="center"/>
    </xf>
    <xf numFmtId="168" fontId="54" fillId="19" borderId="16" xfId="0" applyNumberFormat="1" applyFont="1" applyFill="1" applyBorder="1" applyAlignment="1">
      <alignment horizontal="right" vertical="center"/>
    </xf>
    <xf numFmtId="168" fontId="53" fillId="0" borderId="16" xfId="0" quotePrefix="1" applyNumberFormat="1" applyFont="1" applyBorder="1" applyAlignment="1">
      <alignment horizontal="right" vertical="center"/>
    </xf>
    <xf numFmtId="0" fontId="57" fillId="20" borderId="16" xfId="0" applyFont="1" applyFill="1" applyBorder="1"/>
    <xf numFmtId="0" fontId="53" fillId="20" borderId="16" xfId="0" applyFont="1" applyFill="1" applyBorder="1" applyAlignment="1">
      <alignment horizontal="left" vertical="center" indent="1"/>
    </xf>
    <xf numFmtId="168" fontId="0" fillId="20" borderId="16" xfId="0" applyNumberFormat="1" applyFill="1" applyBorder="1" applyAlignment="1">
      <alignment horizontal="right"/>
    </xf>
    <xf numFmtId="0" fontId="57" fillId="20" borderId="21" xfId="0" applyFont="1" applyFill="1" applyBorder="1"/>
    <xf numFmtId="0" fontId="53" fillId="20" borderId="22" xfId="0" applyFont="1" applyFill="1" applyBorder="1" applyAlignment="1">
      <alignment horizontal="left" vertical="center" indent="1"/>
    </xf>
    <xf numFmtId="167" fontId="57" fillId="20" borderId="32" xfId="0" applyNumberFormat="1" applyFont="1" applyFill="1" applyBorder="1"/>
    <xf numFmtId="0" fontId="53" fillId="0" borderId="0" xfId="0" applyFont="1" applyAlignment="1">
      <alignment horizontal="left" vertical="center" indent="1"/>
    </xf>
    <xf numFmtId="167" fontId="58" fillId="19" borderId="32" xfId="0" applyNumberFormat="1" applyFont="1" applyFill="1" applyBorder="1"/>
    <xf numFmtId="167" fontId="58" fillId="0" borderId="32" xfId="0" applyNumberFormat="1" applyFont="1" applyBorder="1"/>
    <xf numFmtId="167" fontId="58" fillId="19" borderId="32" xfId="0" applyNumberFormat="1" applyFont="1" applyFill="1" applyBorder="1" applyAlignment="1">
      <alignment horizontal="right"/>
    </xf>
    <xf numFmtId="167" fontId="58" fillId="19" borderId="33" xfId="0" applyNumberFormat="1" applyFont="1" applyFill="1" applyBorder="1"/>
    <xf numFmtId="167" fontId="58" fillId="0" borderId="33" xfId="0" quotePrefix="1" applyNumberFormat="1" applyFont="1" applyBorder="1" applyAlignment="1">
      <alignment horizontal="right"/>
    </xf>
    <xf numFmtId="0" fontId="59" fillId="20" borderId="16" xfId="0" applyFont="1" applyFill="1" applyBorder="1" applyAlignment="1">
      <alignment horizontal="right"/>
    </xf>
    <xf numFmtId="168" fontId="57" fillId="0" borderId="0" xfId="0" applyNumberFormat="1" applyFont="1"/>
    <xf numFmtId="168" fontId="0" fillId="0" borderId="0" xfId="0" applyNumberFormat="1" applyAlignment="1">
      <alignment horizontal="right"/>
    </xf>
    <xf numFmtId="168" fontId="0" fillId="20" borderId="0" xfId="0" applyNumberFormat="1" applyFill="1" applyAlignment="1">
      <alignment horizontal="right"/>
    </xf>
    <xf numFmtId="168" fontId="53" fillId="19" borderId="0" xfId="0" applyNumberFormat="1" applyFont="1" applyFill="1" applyAlignment="1">
      <alignment horizontal="right" vertical="center"/>
    </xf>
    <xf numFmtId="168" fontId="53" fillId="0" borderId="0" xfId="0" applyNumberFormat="1" applyFont="1" applyAlignment="1">
      <alignment horizontal="right" vertical="center"/>
    </xf>
    <xf numFmtId="0" fontId="60" fillId="0" borderId="0" xfId="0" applyFont="1"/>
    <xf numFmtId="0" fontId="61" fillId="23" borderId="34" xfId="0" applyFont="1" applyFill="1" applyBorder="1"/>
    <xf numFmtId="0" fontId="61" fillId="23" borderId="35" xfId="0" applyFont="1" applyFill="1" applyBorder="1"/>
    <xf numFmtId="0" fontId="61" fillId="0" borderId="36" xfId="0" applyFont="1" applyBorder="1"/>
    <xf numFmtId="0" fontId="61" fillId="0" borderId="32" xfId="0" applyFont="1" applyBorder="1"/>
    <xf numFmtId="0" fontId="61" fillId="0" borderId="34" xfId="0" applyFont="1" applyBorder="1"/>
    <xf numFmtId="0" fontId="61" fillId="0" borderId="35" xfId="0" applyFont="1" applyBorder="1"/>
    <xf numFmtId="0" fontId="61" fillId="0" borderId="37" xfId="0" applyFont="1" applyBorder="1"/>
    <xf numFmtId="0" fontId="61" fillId="0" borderId="33" xfId="0" applyFont="1" applyBorder="1"/>
    <xf numFmtId="0" fontId="61" fillId="23" borderId="37" xfId="0" applyFont="1" applyFill="1" applyBorder="1"/>
    <xf numFmtId="0" fontId="61" fillId="23" borderId="33" xfId="0" applyFont="1" applyFill="1" applyBorder="1" applyAlignment="1">
      <alignment horizontal="right"/>
    </xf>
    <xf numFmtId="0" fontId="61" fillId="0" borderId="0" xfId="0" applyFont="1"/>
    <xf numFmtId="0" fontId="61" fillId="23" borderId="0" xfId="0" applyFont="1" applyFill="1" applyAlignment="1">
      <alignment horizontal="right"/>
    </xf>
    <xf numFmtId="0" fontId="62" fillId="23" borderId="34" xfId="0" applyFont="1" applyFill="1" applyBorder="1"/>
    <xf numFmtId="0" fontId="48" fillId="20" borderId="38" xfId="0" applyFont="1" applyFill="1" applyBorder="1"/>
    <xf numFmtId="0" fontId="48" fillId="20" borderId="39" xfId="0" applyFont="1" applyFill="1" applyBorder="1" applyAlignment="1">
      <alignment horizontal="left"/>
    </xf>
    <xf numFmtId="0" fontId="50" fillId="0" borderId="0" xfId="0" applyFont="1"/>
    <xf numFmtId="0" fontId="0" fillId="0" borderId="32" xfId="0" applyBorder="1"/>
    <xf numFmtId="0" fontId="50" fillId="0" borderId="0" xfId="0" applyFont="1" applyAlignment="1">
      <alignment horizontal="right"/>
    </xf>
    <xf numFmtId="0" fontId="0" fillId="0" borderId="36" xfId="0" applyBorder="1"/>
    <xf numFmtId="0" fontId="57" fillId="0" borderId="32" xfId="0" applyFont="1" applyBorder="1" applyAlignment="1">
      <alignment horizontal="right"/>
    </xf>
    <xf numFmtId="0" fontId="0" fillId="0" borderId="37" xfId="0" applyBorder="1"/>
    <xf numFmtId="0" fontId="0" fillId="0" borderId="40" xfId="0" applyBorder="1"/>
    <xf numFmtId="0" fontId="0" fillId="0" borderId="33" xfId="0" applyBorder="1"/>
    <xf numFmtId="0" fontId="63" fillId="0" borderId="0" xfId="0" applyFont="1" applyAlignment="1">
      <alignment horizontal="right"/>
    </xf>
    <xf numFmtId="0" fontId="64" fillId="0" borderId="16" xfId="0" applyFont="1" applyBorder="1" applyAlignment="1">
      <alignment horizontal="right"/>
    </xf>
    <xf numFmtId="168" fontId="53" fillId="19" borderId="16" xfId="0" quotePrefix="1" applyNumberFormat="1" applyFont="1" applyFill="1" applyBorder="1" applyAlignment="1">
      <alignment horizontal="right" vertical="center"/>
    </xf>
    <xf numFmtId="0" fontId="57" fillId="0" borderId="0" xfId="0" applyFont="1" applyAlignment="1">
      <alignment horizontal="right"/>
    </xf>
    <xf numFmtId="0" fontId="61" fillId="0" borderId="35" xfId="0" applyFont="1" applyBorder="1" applyAlignment="1">
      <alignment horizontal="right"/>
    </xf>
    <xf numFmtId="0" fontId="61" fillId="0" borderId="0" xfId="0" applyFont="1" applyAlignment="1">
      <alignment horizontal="right"/>
    </xf>
    <xf numFmtId="0" fontId="4" fillId="2" borderId="1" xfId="0" applyFont="1" applyFill="1" applyBorder="1" applyAlignment="1">
      <alignment horizontal="center" wrapText="1"/>
    </xf>
    <xf numFmtId="0" fontId="5" fillId="0" borderId="2" xfId="0" applyFont="1" applyBorder="1"/>
    <xf numFmtId="0" fontId="5" fillId="0" borderId="3" xfId="0" applyFont="1" applyBorder="1"/>
    <xf numFmtId="0" fontId="6" fillId="0" borderId="0" xfId="0" applyFont="1"/>
    <xf numFmtId="0" fontId="0" fillId="0" borderId="0" xfId="0"/>
    <xf numFmtId="0" fontId="2" fillId="0" borderId="0" xfId="0" applyFont="1" applyAlignment="1">
      <alignment vertical="center" wrapText="1"/>
    </xf>
    <xf numFmtId="0" fontId="1" fillId="2" borderId="4" xfId="0" applyFont="1" applyFill="1" applyBorder="1" applyAlignment="1">
      <alignment horizontal="center" wrapText="1"/>
    </xf>
    <xf numFmtId="0" fontId="5" fillId="0" borderId="5" xfId="0" applyFont="1" applyBorder="1"/>
    <xf numFmtId="0" fontId="5" fillId="0" borderId="6" xfId="0" applyFont="1" applyBorder="1"/>
    <xf numFmtId="0" fontId="7" fillId="0" borderId="0" xfId="0" applyFont="1" applyAlignment="1">
      <alignment horizontal="center"/>
    </xf>
    <xf numFmtId="0" fontId="3" fillId="0" borderId="10" xfId="0" applyFont="1" applyBorder="1"/>
    <xf numFmtId="0" fontId="5" fillId="0" borderId="11" xfId="0" applyFont="1" applyBorder="1"/>
    <xf numFmtId="0" fontId="5" fillId="0" borderId="12" xfId="0" applyFont="1" applyBorder="1"/>
    <xf numFmtId="0" fontId="32" fillId="15" borderId="10" xfId="0" applyFont="1" applyFill="1" applyBorder="1" applyAlignment="1">
      <alignment horizontal="center"/>
    </xf>
    <xf numFmtId="0" fontId="5" fillId="15" borderId="11" xfId="0" applyFont="1" applyFill="1" applyBorder="1"/>
    <xf numFmtId="0" fontId="5" fillId="15" borderId="12" xfId="0" applyFont="1" applyFill="1" applyBorder="1"/>
    <xf numFmtId="0" fontId="32" fillId="4" borderId="10" xfId="0" applyFont="1" applyFill="1" applyBorder="1" applyAlignment="1">
      <alignment horizontal="center"/>
    </xf>
    <xf numFmtId="0" fontId="5" fillId="4" borderId="11" xfId="0" applyFont="1" applyFill="1" applyBorder="1"/>
    <xf numFmtId="0" fontId="5" fillId="4" borderId="12" xfId="0" applyFont="1" applyFill="1" applyBorder="1"/>
    <xf numFmtId="0" fontId="2" fillId="0" borderId="1" xfId="0" applyFont="1" applyBorder="1" applyAlignment="1">
      <alignment horizontal="center"/>
    </xf>
    <xf numFmtId="0" fontId="3" fillId="0" borderId="0" xfId="0" applyFont="1"/>
    <xf numFmtId="0" fontId="30" fillId="14" borderId="10" xfId="0" applyFont="1" applyFill="1" applyBorder="1" applyAlignment="1">
      <alignment horizontal="center"/>
    </xf>
    <xf numFmtId="0" fontId="5" fillId="14" borderId="11" xfId="0" applyFont="1" applyFill="1" applyBorder="1"/>
    <xf numFmtId="0" fontId="5" fillId="14" borderId="12" xfId="0" applyFont="1" applyFill="1" applyBorder="1"/>
    <xf numFmtId="0" fontId="31" fillId="0" borderId="1" xfId="0" applyFont="1" applyBorder="1" applyAlignment="1">
      <alignment vertical="top" wrapText="1"/>
    </xf>
    <xf numFmtId="0" fontId="5" fillId="0" borderId="7" xfId="0" applyFont="1" applyBorder="1"/>
    <xf numFmtId="0" fontId="5" fillId="0" borderId="8" xfId="0" applyFont="1" applyBorder="1"/>
    <xf numFmtId="0" fontId="5" fillId="0" borderId="4" xfId="0" applyFont="1" applyBorder="1"/>
  </cellXfs>
  <cellStyles count="1">
    <cellStyle name="Normal" xfId="0" builtinId="0"/>
  </cellStyles>
  <dxfs count="44">
    <dxf>
      <font>
        <b val="0"/>
        <i val="0"/>
        <strike val="0"/>
        <condense val="0"/>
        <extend val="0"/>
        <outline val="0"/>
        <shadow val="0"/>
        <u val="none"/>
        <vertAlign val="baseline"/>
        <sz val="12"/>
        <color rgb="FF000000"/>
        <name val="Open Sans"/>
        <scheme val="none"/>
      </font>
      <numFmt numFmtId="165" formatCode="&quot;$&quot;#,##0"/>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s>
  <tableStyles count="19">
    <tableStyle name="ORJ - Ultimate FI Budget-style" pivot="0" count="2" xr9:uid="{00000000-0011-0000-FFFF-FFFF00000000}">
      <tableStyleElement type="firstRowStripe" dxfId="43"/>
      <tableStyleElement type="secondRowStripe" dxfId="42"/>
    </tableStyle>
    <tableStyle name="ORJ - Ultimate FI Budget-style 2" pivot="0" count="2" xr9:uid="{00000000-0011-0000-FFFF-FFFF01000000}">
      <tableStyleElement type="firstRowStripe" dxfId="41"/>
      <tableStyleElement type="secondRowStripe" dxfId="40"/>
    </tableStyle>
    <tableStyle name="ORJ - Ultimate FI Budget-style 3" pivot="0" count="2" xr9:uid="{00000000-0011-0000-FFFF-FFFF02000000}">
      <tableStyleElement type="firstRowStripe" dxfId="39"/>
      <tableStyleElement type="secondRowStripe" dxfId="38"/>
    </tableStyle>
    <tableStyle name="ORJ - Ultimate FI Budget-style 4" pivot="0" count="2" xr9:uid="{00000000-0011-0000-FFFF-FFFF03000000}">
      <tableStyleElement type="firstRowStripe" dxfId="37"/>
      <tableStyleElement type="secondRowStripe" dxfId="36"/>
    </tableStyle>
    <tableStyle name="ORJ - Ultimate FI Budget-style 5" pivot="0" count="2" xr9:uid="{00000000-0011-0000-FFFF-FFFF04000000}">
      <tableStyleElement type="firstRowStripe" dxfId="35"/>
      <tableStyleElement type="secondRowStripe" dxfId="34"/>
    </tableStyle>
    <tableStyle name="ORJ - Ultimate FI Budget-style 6" pivot="0" count="2" xr9:uid="{00000000-0011-0000-FFFF-FFFF05000000}">
      <tableStyleElement type="firstRowStripe" dxfId="33"/>
      <tableStyleElement type="secondRowStripe" dxfId="32"/>
    </tableStyle>
    <tableStyle name="ORJ - Ultimate FI Budget-style 7" pivot="0" count="2" xr9:uid="{00000000-0011-0000-FFFF-FFFF06000000}">
      <tableStyleElement type="firstRowStripe" dxfId="31"/>
      <tableStyleElement type="secondRowStripe" dxfId="30"/>
    </tableStyle>
    <tableStyle name="ORJ - Ultimate FI Budget-style 8" pivot="0" count="2" xr9:uid="{00000000-0011-0000-FFFF-FFFF07000000}">
      <tableStyleElement type="firstRowStripe" dxfId="29"/>
      <tableStyleElement type="secondRowStripe" dxfId="28"/>
    </tableStyle>
    <tableStyle name="ORJ - Ultimate FI Budget-style 9" pivot="0" count="2" xr9:uid="{00000000-0011-0000-FFFF-FFFF08000000}">
      <tableStyleElement type="firstRowStripe" dxfId="27"/>
      <tableStyleElement type="secondRowStripe" dxfId="26"/>
    </tableStyle>
    <tableStyle name="ACTUAL Spending ORJ - Ultimate -style" pivot="0" count="2" xr9:uid="{00000000-0011-0000-FFFF-FFFF09000000}">
      <tableStyleElement type="firstRowStripe" dxfId="25"/>
      <tableStyleElement type="secondRowStripe" dxfId="24"/>
    </tableStyle>
    <tableStyle name="ACTUAL Spending ORJ - Ultimate -style 2" pivot="0" count="2" xr9:uid="{00000000-0011-0000-FFFF-FFFF0A000000}">
      <tableStyleElement type="firstRowStripe" dxfId="23"/>
      <tableStyleElement type="secondRowStripe" dxfId="22"/>
    </tableStyle>
    <tableStyle name="ACTUAL Spending ORJ - Ultimate -style 3" pivot="0" count="2" xr9:uid="{00000000-0011-0000-FFFF-FFFF0B000000}">
      <tableStyleElement type="firstRowStripe" dxfId="21"/>
      <tableStyleElement type="secondRowStripe" dxfId="20"/>
    </tableStyle>
    <tableStyle name="ACTUAL Spending ORJ - Ultimate -style 4" pivot="0" count="2" xr9:uid="{00000000-0011-0000-FFFF-FFFF0C000000}">
      <tableStyleElement type="firstRowStripe" dxfId="19"/>
      <tableStyleElement type="secondRowStripe" dxfId="18"/>
    </tableStyle>
    <tableStyle name="ACTUAL Spending ORJ - Ultimate -style 5" pivot="0" count="2" xr9:uid="{00000000-0011-0000-FFFF-FFFF0D000000}">
      <tableStyleElement type="firstRowStripe" dxfId="17"/>
      <tableStyleElement type="secondRowStripe" dxfId="16"/>
    </tableStyle>
    <tableStyle name="ACTUAL Spending ORJ - Ultimate -style 6" pivot="0" count="2" xr9:uid="{00000000-0011-0000-FFFF-FFFF0E000000}">
      <tableStyleElement type="firstRowStripe" dxfId="15"/>
      <tableStyleElement type="secondRowStripe" dxfId="14"/>
    </tableStyle>
    <tableStyle name="ACTUAL Spending ORJ - Ultimate -style 7" pivot="0" count="2" xr9:uid="{00000000-0011-0000-FFFF-FFFF0F000000}">
      <tableStyleElement type="firstRowStripe" dxfId="13"/>
      <tableStyleElement type="secondRowStripe" dxfId="12"/>
    </tableStyle>
    <tableStyle name="ACTUAL Spending ORJ - Ultimate -style 8" pivot="0" count="2" xr9:uid="{00000000-0011-0000-FFFF-FFFF10000000}">
      <tableStyleElement type="firstRowStripe" dxfId="11"/>
      <tableStyleElement type="secondRowStripe" dxfId="10"/>
    </tableStyle>
    <tableStyle name="ACTUAL Spending ORJ - Ultimate -style 9" pivot="0" count="2" xr9:uid="{00000000-0011-0000-FFFF-FFFF11000000}">
      <tableStyleElement type="firstRowStripe" dxfId="9"/>
      <tableStyleElement type="secondRowStripe" dxfId="8"/>
    </tableStyle>
    <tableStyle name="Calculator" pivot="0" count="7" xr9:uid="{9C2CED2D-EFA1-E24A-94C5-52F5443E8EFE}">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Roboto"/>
              </a:defRPr>
            </a:pPr>
            <a:r>
              <a:rPr lang="en-US"/>
              <a:t>Expense Summary (%)</a:t>
            </a:r>
          </a:p>
        </c:rich>
      </c:tx>
      <c:overlay val="0"/>
    </c:title>
    <c:autoTitleDeleted val="0"/>
    <c:plotArea>
      <c:layout/>
      <c:pieChart>
        <c:varyColors val="1"/>
        <c:ser>
          <c:idx val="0"/>
          <c:order val="0"/>
          <c:tx>
            <c:strRef>
              <c:f>'ORJ - Ultimate FI Budget'!$L$23:$L$24</c:f>
              <c:strCache>
                <c:ptCount val="2"/>
                <c:pt idx="1">
                  <c:v>Expense ($)</c:v>
                </c:pt>
              </c:strCache>
            </c:strRef>
          </c:tx>
          <c:dPt>
            <c:idx val="0"/>
            <c:bubble3D val="0"/>
            <c:spPr>
              <a:solidFill>
                <a:srgbClr val="93C47D"/>
              </a:solidFill>
              <a:ln w="9525" cmpd="sng">
                <a:solidFill>
                  <a:srgbClr val="000000"/>
                </a:solidFill>
              </a:ln>
            </c:spPr>
            <c:extLst>
              <c:ext xmlns:c16="http://schemas.microsoft.com/office/drawing/2014/chart" uri="{C3380CC4-5D6E-409C-BE32-E72D297353CC}">
                <c16:uniqueId val="{00000001-A482-EF48-A8A6-4528F4886B1B}"/>
              </c:ext>
            </c:extLst>
          </c:dPt>
          <c:dPt>
            <c:idx val="1"/>
            <c:bubble3D val="0"/>
            <c:spPr>
              <a:solidFill>
                <a:srgbClr val="C9DAF8"/>
              </a:solidFill>
              <a:ln w="9525" cmpd="sng">
                <a:solidFill>
                  <a:srgbClr val="000000"/>
                </a:solidFill>
              </a:ln>
            </c:spPr>
            <c:extLst>
              <c:ext xmlns:c16="http://schemas.microsoft.com/office/drawing/2014/chart" uri="{C3380CC4-5D6E-409C-BE32-E72D297353CC}">
                <c16:uniqueId val="{00000003-A482-EF48-A8A6-4528F4886B1B}"/>
              </c:ext>
            </c:extLst>
          </c:dPt>
          <c:dPt>
            <c:idx val="2"/>
            <c:bubble3D val="0"/>
            <c:spPr>
              <a:solidFill>
                <a:srgbClr val="F4CCCC"/>
              </a:solidFill>
              <a:ln w="9525" cmpd="sng">
                <a:solidFill>
                  <a:srgbClr val="000000"/>
                </a:solidFill>
              </a:ln>
            </c:spPr>
            <c:extLst>
              <c:ext xmlns:c16="http://schemas.microsoft.com/office/drawing/2014/chart" uri="{C3380CC4-5D6E-409C-BE32-E72D297353CC}">
                <c16:uniqueId val="{00000005-A482-EF48-A8A6-4528F4886B1B}"/>
              </c:ext>
            </c:extLst>
          </c:dPt>
          <c:dPt>
            <c:idx val="3"/>
            <c:bubble3D val="0"/>
            <c:spPr>
              <a:solidFill>
                <a:srgbClr val="FFFF00"/>
              </a:solidFill>
              <a:ln w="9525" cmpd="sng">
                <a:solidFill>
                  <a:srgbClr val="000000"/>
                </a:solidFill>
              </a:ln>
            </c:spPr>
            <c:extLst>
              <c:ext xmlns:c16="http://schemas.microsoft.com/office/drawing/2014/chart" uri="{C3380CC4-5D6E-409C-BE32-E72D297353CC}">
                <c16:uniqueId val="{00000007-A482-EF48-A8A6-4528F4886B1B}"/>
              </c:ext>
            </c:extLst>
          </c:dPt>
          <c:dPt>
            <c:idx val="4"/>
            <c:bubble3D val="0"/>
            <c:spPr>
              <a:solidFill>
                <a:srgbClr val="999999"/>
              </a:solidFill>
              <a:ln w="9525" cmpd="sng">
                <a:solidFill>
                  <a:srgbClr val="000000"/>
                </a:solidFill>
              </a:ln>
            </c:spPr>
            <c:extLst>
              <c:ext xmlns:c16="http://schemas.microsoft.com/office/drawing/2014/chart" uri="{C3380CC4-5D6E-409C-BE32-E72D297353CC}">
                <c16:uniqueId val="{00000009-A482-EF48-A8A6-4528F4886B1B}"/>
              </c:ext>
            </c:extLst>
          </c:dPt>
          <c:dPt>
            <c:idx val="5"/>
            <c:bubble3D val="0"/>
            <c:spPr>
              <a:solidFill>
                <a:srgbClr val="C27BA0"/>
              </a:solidFill>
              <a:ln w="9525" cmpd="sng">
                <a:solidFill>
                  <a:srgbClr val="000000"/>
                </a:solidFill>
              </a:ln>
            </c:spPr>
            <c:extLst>
              <c:ext xmlns:c16="http://schemas.microsoft.com/office/drawing/2014/chart" uri="{C3380CC4-5D6E-409C-BE32-E72D297353CC}">
                <c16:uniqueId val="{0000000B-A482-EF48-A8A6-4528F4886B1B}"/>
              </c:ext>
            </c:extLst>
          </c:dPt>
          <c:dPt>
            <c:idx val="6"/>
            <c:bubble3D val="0"/>
            <c:spPr>
              <a:solidFill>
                <a:srgbClr val="F1C232"/>
              </a:solidFill>
              <a:ln w="9525" cmpd="sng">
                <a:solidFill>
                  <a:srgbClr val="000000"/>
                </a:solidFill>
              </a:ln>
            </c:spPr>
            <c:extLst>
              <c:ext xmlns:c16="http://schemas.microsoft.com/office/drawing/2014/chart" uri="{C3380CC4-5D6E-409C-BE32-E72D297353CC}">
                <c16:uniqueId val="{0000000D-A482-EF48-A8A6-4528F4886B1B}"/>
              </c:ext>
            </c:extLst>
          </c:dPt>
          <c:cat>
            <c:strRef>
              <c:f>'ORJ - Ultimate FI Budget'!$K$25:$K$31</c:f>
              <c:strCache>
                <c:ptCount val="7"/>
                <c:pt idx="0">
                  <c:v>PAY YOURSELF FIRST (PYF) - Savings &amp; Investing</c:v>
                </c:pt>
                <c:pt idx="1">
                  <c:v>HOUSEHOLD</c:v>
                </c:pt>
                <c:pt idx="2">
                  <c:v>FOOD</c:v>
                </c:pt>
                <c:pt idx="3">
                  <c:v>TRANSPORTATION</c:v>
                </c:pt>
                <c:pt idx="4">
                  <c:v>PERSONAL CARE</c:v>
                </c:pt>
                <c:pt idx="5">
                  <c:v>ENTERTAINMENT &amp; TRAVEL (VACATIONS)</c:v>
                </c:pt>
                <c:pt idx="6">
                  <c:v>TOTAL DEBT</c:v>
                </c:pt>
              </c:strCache>
            </c:strRef>
          </c:cat>
          <c:val>
            <c:numRef>
              <c:f>'ORJ - Ultimate FI Budget'!$L$25:$L$31</c:f>
              <c:numCache>
                <c:formatCode>"$"#,##0</c:formatCode>
                <c:ptCount val="7"/>
                <c:pt idx="0">
                  <c:v>4340</c:v>
                </c:pt>
                <c:pt idx="1">
                  <c:v>2370</c:v>
                </c:pt>
                <c:pt idx="2">
                  <c:v>600</c:v>
                </c:pt>
                <c:pt idx="3">
                  <c:v>280</c:v>
                </c:pt>
                <c:pt idx="4">
                  <c:v>840</c:v>
                </c:pt>
                <c:pt idx="5">
                  <c:v>14</c:v>
                </c:pt>
                <c:pt idx="6" formatCode="&quot;$&quot;#,##0.0">
                  <c:v>625</c:v>
                </c:pt>
              </c:numCache>
            </c:numRef>
          </c:val>
          <c:extLst>
            <c:ext xmlns:c16="http://schemas.microsoft.com/office/drawing/2014/chart" uri="{C3380CC4-5D6E-409C-BE32-E72D297353CC}">
              <c16:uniqueId val="{0000000E-A482-EF48-A8A6-4528F4886B1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57150</xdr:colOff>
      <xdr:row>3</xdr:row>
      <xdr:rowOff>57150</xdr:rowOff>
    </xdr:from>
    <xdr:ext cx="5610225" cy="3467100"/>
    <xdr:graphicFrame macro="">
      <xdr:nvGraphicFramePr>
        <xdr:cNvPr id="2" name="Chart 2"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2:E37" headerRowCount="0">
  <tableColumns count="3">
    <tableColumn id="1" xr3:uid="{00000000-0010-0000-0000-000001000000}" name="Column1"/>
    <tableColumn id="2" xr3:uid="{00000000-0010-0000-0000-000002000000}" name="Column2"/>
    <tableColumn id="3" xr3:uid="{00000000-0010-0000-0000-000003000000}" name="Column3"/>
  </tableColumns>
  <tableStyleInfo name="ORJ - Ultimate FI Budg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23:E28" headerRowCount="0">
  <tableColumns count="3">
    <tableColumn id="1" xr3:uid="{00000000-0010-0000-0100-000001000000}" name="Column1"/>
    <tableColumn id="2" xr3:uid="{00000000-0010-0000-0100-000002000000}" name="Column2"/>
    <tableColumn id="3" xr3:uid="{00000000-0010-0000-0100-000003000000}" name="Column3"/>
  </tableColumns>
  <tableStyleInfo name="ORJ - Ultimate FI Budge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49:E57" headerRowCount="0">
  <tableColumns count="3">
    <tableColumn id="1" xr3:uid="{00000000-0010-0000-0200-000001000000}" name="Column1"/>
    <tableColumn id="2" xr3:uid="{00000000-0010-0000-0200-000002000000}" name="Column2"/>
    <tableColumn id="3" xr3:uid="{00000000-0010-0000-0200-000003000000}" name="Column3"/>
  </tableColumns>
  <tableStyleInfo name="ORJ - Ultimate FI Budget-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70:E74" headerRowCount="0">
  <tableColumns count="3">
    <tableColumn id="1" xr3:uid="{00000000-0010-0000-0300-000001000000}" name="Column1"/>
    <tableColumn id="2" xr3:uid="{00000000-0010-0000-0300-000002000000}" name="Column2"/>
    <tableColumn id="3" xr3:uid="{00000000-0010-0000-0300-000003000000}" name="Column3"/>
  </tableColumns>
  <tableStyleInfo name="ORJ - Ultimate FI Budget-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14:E20" headerRowCount="0">
  <tableColumns count="3">
    <tableColumn id="1" xr3:uid="{00000000-0010-0000-0400-000001000000}" name="Column1"/>
    <tableColumn id="2" xr3:uid="{00000000-0010-0000-0400-000002000000}" name="Column2"/>
    <tableColumn id="3" xr3:uid="{00000000-0010-0000-0400-000003000000}" name="Column3"/>
  </tableColumns>
  <tableStyleInfo name="ORJ - Ultimate FI Budget-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60:E67" headerRowCount="0">
  <tableColumns count="3">
    <tableColumn id="1" xr3:uid="{00000000-0010-0000-0500-000001000000}" name="Column1"/>
    <tableColumn id="2" xr3:uid="{00000000-0010-0000-0500-000002000000}" name="Column2"/>
    <tableColumn id="3" xr3:uid="{00000000-0010-0000-0500-000003000000}" name="Column3"/>
  </tableColumns>
  <tableStyleInfo name="ORJ - Ultimate FI Budget-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40:E46" headerRowCount="0">
  <tableColumns count="3">
    <tableColumn id="1" xr3:uid="{00000000-0010-0000-0600-000001000000}" name="Column1"/>
    <tableColumn id="2" xr3:uid="{00000000-0010-0000-0600-000002000000}" name="Column2" dataDxfId="0"/>
    <tableColumn id="3" xr3:uid="{00000000-0010-0000-0600-000003000000}" name="Column3"/>
  </tableColumns>
  <tableStyleInfo name="ORJ - Ultimate FI Budget-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6:E9" headerRowCount="0">
  <tableColumns count="3">
    <tableColumn id="1" xr3:uid="{00000000-0010-0000-0700-000001000000}" name="Column1"/>
    <tableColumn id="2" xr3:uid="{00000000-0010-0000-0700-000002000000}" name="Column2"/>
    <tableColumn id="3" xr3:uid="{00000000-0010-0000-0700-000003000000}" name="Column3"/>
  </tableColumns>
  <tableStyleInfo name="ORJ - Ultimate FI Budget-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82:E83" headerRowCount="0">
  <tableColumns count="3">
    <tableColumn id="1" xr3:uid="{00000000-0010-0000-0800-000001000000}" name="Column1"/>
    <tableColumn id="2" xr3:uid="{00000000-0010-0000-0800-000002000000}" name="Column2"/>
    <tableColumn id="3" xr3:uid="{00000000-0010-0000-0800-000003000000}" name="Column3"/>
  </tableColumns>
  <tableStyleInfo name="ORJ - Ultimate FI Budget-style 9"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zn.to/2UnBpqK" TargetMode="Externa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hyperlink" Target="https://amzn.to/2zIVI8p" TargetMode="External"/><Relationship Id="rId7" Type="http://schemas.openxmlformats.org/officeDocument/2006/relationships/hyperlink" Target="https://amzn.to/2Lc0thn" TargetMode="Externa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hyperlink" Target="https://amzn.to/2MKGokh" TargetMode="External"/><Relationship Id="rId16" Type="http://schemas.openxmlformats.org/officeDocument/2006/relationships/table" Target="../tables/table6.xml"/><Relationship Id="rId1" Type="http://schemas.openxmlformats.org/officeDocument/2006/relationships/hyperlink" Target="https://amzn.to/2UjEc4j" TargetMode="External"/><Relationship Id="rId6" Type="http://schemas.openxmlformats.org/officeDocument/2006/relationships/hyperlink" Target="https://amzn.to/2ZD29IK" TargetMode="External"/><Relationship Id="rId11" Type="http://schemas.openxmlformats.org/officeDocument/2006/relationships/table" Target="../tables/table1.xml"/><Relationship Id="rId5" Type="http://schemas.openxmlformats.org/officeDocument/2006/relationships/hyperlink" Target="https://amzn.to/2ZJQuDW" TargetMode="External"/><Relationship Id="rId15" Type="http://schemas.openxmlformats.org/officeDocument/2006/relationships/table" Target="../tables/table5.xml"/><Relationship Id="rId10" Type="http://schemas.openxmlformats.org/officeDocument/2006/relationships/drawing" Target="../drawings/drawing1.xml"/><Relationship Id="rId19" Type="http://schemas.openxmlformats.org/officeDocument/2006/relationships/table" Target="../tables/table9.xml"/><Relationship Id="rId4" Type="http://schemas.openxmlformats.org/officeDocument/2006/relationships/hyperlink" Target="https://amzn.to/2UkwgQ6" TargetMode="External"/><Relationship Id="rId9" Type="http://schemas.openxmlformats.org/officeDocument/2006/relationships/hyperlink" Target="https://amzn.to/2HCnDeJ" TargetMode="External"/><Relationship Id="rId1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45"/>
  <sheetViews>
    <sheetView showGridLines="0" topLeftCell="A47" workbookViewId="0">
      <selection activeCell="H72" sqref="H72"/>
    </sheetView>
  </sheetViews>
  <sheetFormatPr baseColWidth="10" defaultColWidth="14.5" defaultRowHeight="15.75" customHeight="1"/>
  <cols>
    <col min="1" max="1" width="5.6640625" customWidth="1"/>
    <col min="2" max="2" width="5.5" customWidth="1"/>
    <col min="3" max="3" width="53.5" customWidth="1"/>
    <col min="6" max="6" width="5.6640625" customWidth="1"/>
    <col min="7" max="7" width="4.83203125" customWidth="1"/>
    <col min="10" max="10" width="5.33203125" customWidth="1"/>
    <col min="11" max="11" width="42.33203125" bestFit="1" customWidth="1"/>
  </cols>
  <sheetData>
    <row r="1" spans="1:27" ht="34" customHeight="1">
      <c r="A1" s="1"/>
      <c r="B1" s="1"/>
      <c r="C1" s="1"/>
      <c r="D1" s="1"/>
      <c r="E1" s="1"/>
      <c r="F1" s="1"/>
      <c r="G1" s="2"/>
      <c r="H1" s="2"/>
      <c r="I1" s="2"/>
      <c r="J1" s="2"/>
      <c r="K1" s="2"/>
      <c r="L1" s="2"/>
      <c r="M1" s="2"/>
      <c r="N1" s="2"/>
      <c r="O1" s="2"/>
      <c r="P1" s="2"/>
      <c r="Q1" s="2"/>
      <c r="R1" s="2"/>
      <c r="S1" s="2"/>
      <c r="T1" s="2"/>
      <c r="U1" s="2"/>
      <c r="V1" s="2"/>
      <c r="W1" s="2"/>
      <c r="X1" s="2"/>
      <c r="Y1" s="2"/>
      <c r="Z1" s="2"/>
      <c r="AA1" s="2"/>
    </row>
    <row r="2" spans="1:27" ht="31" customHeight="1">
      <c r="A2" s="3"/>
      <c r="B2" s="190" t="s">
        <v>2</v>
      </c>
      <c r="C2" s="191"/>
      <c r="D2" s="191"/>
      <c r="E2" s="191"/>
      <c r="F2" s="192"/>
      <c r="G2" s="2"/>
      <c r="H2" s="193" t="s">
        <v>0</v>
      </c>
      <c r="I2" s="194"/>
      <c r="J2" s="195" t="s">
        <v>1</v>
      </c>
      <c r="K2" s="194"/>
      <c r="L2" s="194"/>
      <c r="M2" s="194"/>
      <c r="N2" s="194"/>
      <c r="O2" s="194"/>
      <c r="P2" s="194"/>
      <c r="Q2" s="2"/>
      <c r="R2" s="2"/>
      <c r="S2" s="2"/>
      <c r="T2" s="2"/>
      <c r="U2" s="2"/>
      <c r="V2" s="2"/>
      <c r="W2" s="2"/>
      <c r="X2" s="2"/>
      <c r="Y2" s="2"/>
      <c r="Z2" s="2"/>
      <c r="AA2" s="2"/>
    </row>
    <row r="3" spans="1:27" ht="43" customHeight="1">
      <c r="A3" s="3"/>
      <c r="B3" s="196" t="s">
        <v>3</v>
      </c>
      <c r="C3" s="197"/>
      <c r="D3" s="197"/>
      <c r="E3" s="197"/>
      <c r="F3" s="198"/>
      <c r="G3" s="2"/>
      <c r="I3" s="2"/>
      <c r="J3" s="194"/>
      <c r="K3" s="194"/>
      <c r="L3" s="194"/>
      <c r="M3" s="194"/>
      <c r="N3" s="194"/>
      <c r="O3" s="194"/>
      <c r="P3" s="194"/>
      <c r="Q3" s="2"/>
      <c r="R3" s="2"/>
      <c r="S3" s="2"/>
      <c r="T3" s="2"/>
      <c r="U3" s="2"/>
      <c r="V3" s="2"/>
      <c r="W3" s="2"/>
      <c r="X3" s="2"/>
      <c r="Y3" s="2"/>
      <c r="Z3" s="2"/>
      <c r="AA3" s="2"/>
    </row>
    <row r="4" spans="1:27" ht="16">
      <c r="A4" s="4"/>
      <c r="B4" s="5"/>
      <c r="C4" s="199" t="s">
        <v>4</v>
      </c>
      <c r="D4" s="194"/>
      <c r="E4" s="194"/>
      <c r="F4" s="6"/>
      <c r="G4" s="2"/>
      <c r="H4" s="2"/>
      <c r="I4" s="2"/>
      <c r="J4" s="2"/>
      <c r="K4" s="2"/>
      <c r="L4" s="2"/>
      <c r="M4" s="2"/>
      <c r="N4" s="2"/>
      <c r="O4" s="2"/>
      <c r="P4" s="2"/>
      <c r="Q4" s="2"/>
      <c r="R4" s="2"/>
      <c r="S4" s="2"/>
      <c r="T4" s="2"/>
      <c r="U4" s="2"/>
      <c r="V4" s="2"/>
      <c r="W4" s="2"/>
      <c r="X4" s="2"/>
      <c r="Y4" s="2"/>
      <c r="Z4" s="2"/>
      <c r="AA4" s="2"/>
    </row>
    <row r="5" spans="1:27" ht="16">
      <c r="B5" s="7"/>
      <c r="C5" s="8"/>
      <c r="D5" s="9" t="s">
        <v>5</v>
      </c>
      <c r="E5" s="9" t="s">
        <v>6</v>
      </c>
      <c r="F5" s="6"/>
      <c r="G5" s="2"/>
      <c r="H5" s="2"/>
      <c r="I5" s="2"/>
      <c r="J5" s="2"/>
      <c r="K5" s="2"/>
      <c r="L5" s="2"/>
      <c r="M5" s="2"/>
      <c r="N5" s="2"/>
      <c r="O5" s="2"/>
      <c r="P5" s="2"/>
      <c r="Q5" s="2"/>
      <c r="R5" s="2"/>
      <c r="S5" s="2"/>
      <c r="T5" s="2"/>
      <c r="U5" s="2"/>
      <c r="V5" s="2"/>
      <c r="W5" s="2"/>
      <c r="X5" s="2"/>
      <c r="Y5" s="2"/>
      <c r="Z5" s="2"/>
      <c r="AA5" s="2"/>
    </row>
    <row r="6" spans="1:27" ht="16">
      <c r="A6" s="10"/>
      <c r="B6" s="11"/>
      <c r="C6" s="12" t="s">
        <v>94</v>
      </c>
      <c r="D6" s="13">
        <v>11500</v>
      </c>
      <c r="E6" s="13">
        <f t="shared" ref="E6:E8" si="0">D6*12</f>
        <v>138000</v>
      </c>
      <c r="F6" s="14"/>
      <c r="G6" s="2"/>
      <c r="H6" s="2"/>
      <c r="I6" s="2"/>
      <c r="J6" s="2"/>
      <c r="K6" s="2"/>
      <c r="L6" s="2"/>
      <c r="M6" s="2"/>
      <c r="N6" s="2"/>
      <c r="O6" s="2"/>
      <c r="P6" s="2"/>
      <c r="Q6" s="2"/>
      <c r="R6" s="2"/>
      <c r="S6" s="2"/>
      <c r="T6" s="2"/>
      <c r="U6" s="2"/>
      <c r="V6" s="2"/>
      <c r="W6" s="2"/>
      <c r="X6" s="2"/>
      <c r="Y6" s="2"/>
      <c r="Z6" s="2"/>
      <c r="AA6" s="2"/>
    </row>
    <row r="7" spans="1:27" ht="16">
      <c r="A7" s="10"/>
      <c r="B7" s="11"/>
      <c r="C7" s="12" t="s">
        <v>7</v>
      </c>
      <c r="D7" s="13">
        <v>0</v>
      </c>
      <c r="E7" s="13">
        <f t="shared" si="0"/>
        <v>0</v>
      </c>
      <c r="F7" s="14"/>
      <c r="G7" s="2"/>
      <c r="H7" s="2"/>
      <c r="I7" s="2"/>
      <c r="J7" s="2"/>
      <c r="K7" s="2"/>
      <c r="L7" s="2"/>
      <c r="M7" s="2"/>
      <c r="N7" s="2"/>
      <c r="O7" s="2"/>
      <c r="P7" s="2"/>
      <c r="Q7" s="2"/>
      <c r="R7" s="2"/>
      <c r="S7" s="2"/>
      <c r="T7" s="2"/>
      <c r="U7" s="2"/>
      <c r="V7" s="2"/>
      <c r="W7" s="2"/>
      <c r="X7" s="2"/>
      <c r="Y7" s="2"/>
      <c r="Z7" s="2"/>
      <c r="AA7" s="2"/>
    </row>
    <row r="8" spans="1:27" ht="16">
      <c r="A8" s="10"/>
      <c r="B8" s="11"/>
      <c r="C8" s="12" t="s">
        <v>8</v>
      </c>
      <c r="D8" s="13">
        <v>0</v>
      </c>
      <c r="E8" s="13">
        <f t="shared" si="0"/>
        <v>0</v>
      </c>
      <c r="F8" s="6"/>
      <c r="G8" s="2"/>
      <c r="H8" s="2"/>
      <c r="I8" s="2"/>
      <c r="J8" s="2"/>
      <c r="K8" s="2"/>
      <c r="L8" s="2"/>
      <c r="M8" s="2"/>
      <c r="N8" s="2"/>
      <c r="O8" s="2"/>
      <c r="P8" s="2"/>
      <c r="Q8" s="2"/>
      <c r="R8" s="2"/>
      <c r="S8" s="2"/>
      <c r="T8" s="2"/>
      <c r="U8" s="2"/>
      <c r="V8" s="2"/>
      <c r="W8" s="2"/>
      <c r="X8" s="2"/>
      <c r="Y8" s="2"/>
      <c r="Z8" s="2"/>
      <c r="AA8" s="2"/>
    </row>
    <row r="9" spans="1:27" ht="16">
      <c r="A9" s="10"/>
      <c r="B9" s="11"/>
      <c r="C9" s="12" t="s">
        <v>9</v>
      </c>
      <c r="D9" s="13">
        <v>0</v>
      </c>
      <c r="E9" s="13">
        <f>(D9*12)</f>
        <v>0</v>
      </c>
      <c r="F9" s="6"/>
      <c r="G9" s="2"/>
      <c r="H9" s="2"/>
      <c r="I9" s="2"/>
      <c r="J9" s="2"/>
      <c r="K9" s="2"/>
      <c r="L9" s="2"/>
      <c r="M9" s="2"/>
      <c r="N9" s="2"/>
      <c r="O9" s="2"/>
      <c r="P9" s="2"/>
      <c r="Q9" s="2"/>
      <c r="R9" s="2"/>
      <c r="S9" s="2"/>
      <c r="T9" s="2"/>
      <c r="U9" s="2"/>
      <c r="V9" s="2"/>
      <c r="W9" s="2"/>
      <c r="X9" s="2"/>
      <c r="Y9" s="2"/>
      <c r="Z9" s="2"/>
      <c r="AA9" s="2"/>
    </row>
    <row r="10" spans="1:27" ht="16">
      <c r="A10" s="15"/>
      <c r="B10" s="16"/>
      <c r="C10" s="17" t="s">
        <v>10</v>
      </c>
      <c r="D10" s="18">
        <f>SUM(D6:D9)</f>
        <v>11500</v>
      </c>
      <c r="E10" s="18">
        <f>SUM(E6:E9)</f>
        <v>138000</v>
      </c>
      <c r="F10" s="6"/>
      <c r="G10" s="2"/>
      <c r="H10" s="2"/>
      <c r="I10" s="2"/>
      <c r="J10" s="2"/>
      <c r="K10" s="2"/>
      <c r="L10" s="2"/>
      <c r="M10" s="2"/>
      <c r="N10" s="2"/>
      <c r="O10" s="2"/>
      <c r="P10" s="2"/>
      <c r="Q10" s="2"/>
      <c r="R10" s="2"/>
      <c r="S10" s="2"/>
      <c r="T10" s="2"/>
      <c r="U10" s="2"/>
      <c r="V10" s="2"/>
      <c r="W10" s="2"/>
      <c r="X10" s="2"/>
      <c r="Y10" s="2"/>
      <c r="Z10" s="2"/>
      <c r="AA10" s="2"/>
    </row>
    <row r="11" spans="1:27" ht="16">
      <c r="A11" s="4"/>
      <c r="B11" s="5"/>
      <c r="C11" s="4"/>
      <c r="D11" s="4"/>
      <c r="E11" s="4"/>
      <c r="F11" s="6"/>
      <c r="G11" s="2"/>
      <c r="H11" s="2"/>
      <c r="J11" s="2"/>
      <c r="K11" s="2"/>
      <c r="L11" s="2"/>
      <c r="M11" s="2"/>
      <c r="N11" s="2"/>
      <c r="O11" s="2"/>
      <c r="P11" s="2"/>
      <c r="Q11" s="2"/>
      <c r="R11" s="2"/>
      <c r="S11" s="2"/>
      <c r="T11" s="2"/>
      <c r="U11" s="2"/>
      <c r="V11" s="2"/>
      <c r="W11" s="2"/>
      <c r="X11" s="2"/>
      <c r="Y11" s="2"/>
      <c r="Z11" s="2"/>
      <c r="AA11" s="2"/>
    </row>
    <row r="12" spans="1:27" ht="16">
      <c r="A12" s="4"/>
      <c r="B12" s="5"/>
      <c r="C12" s="199"/>
      <c r="D12" s="194"/>
      <c r="E12" s="194"/>
      <c r="F12" s="6"/>
      <c r="G12" s="2"/>
      <c r="H12" s="2"/>
      <c r="I12" s="2"/>
      <c r="J12" s="2"/>
      <c r="K12" s="2"/>
      <c r="L12" s="2"/>
      <c r="M12" s="2"/>
      <c r="N12" s="2"/>
      <c r="O12" s="2"/>
      <c r="P12" s="2"/>
      <c r="Q12" s="2"/>
      <c r="R12" s="2"/>
      <c r="S12" s="2"/>
      <c r="T12" s="2"/>
      <c r="U12" s="2"/>
      <c r="V12" s="2"/>
      <c r="W12" s="2"/>
      <c r="X12" s="2"/>
      <c r="Y12" s="2"/>
      <c r="Z12" s="2"/>
      <c r="AA12" s="2"/>
    </row>
    <row r="13" spans="1:27" ht="16">
      <c r="A13" s="19"/>
      <c r="B13" s="20"/>
      <c r="C13" s="21" t="s">
        <v>11</v>
      </c>
      <c r="D13" s="22" t="s">
        <v>12</v>
      </c>
      <c r="E13" s="22" t="s">
        <v>6</v>
      </c>
      <c r="F13" s="6"/>
      <c r="G13" s="2"/>
      <c r="I13" s="2"/>
      <c r="J13" s="2"/>
      <c r="K13" s="2"/>
      <c r="L13" s="2"/>
      <c r="M13" s="2"/>
      <c r="N13" s="2"/>
      <c r="O13" s="2"/>
      <c r="P13" s="2"/>
      <c r="Q13" s="2"/>
      <c r="R13" s="2"/>
      <c r="S13" s="2"/>
      <c r="T13" s="2"/>
      <c r="U13" s="2"/>
      <c r="V13" s="2"/>
      <c r="W13" s="2"/>
      <c r="X13" s="2"/>
      <c r="Y13" s="2"/>
      <c r="Z13" s="2"/>
      <c r="AA13" s="2"/>
    </row>
    <row r="14" spans="1:27" ht="16">
      <c r="A14" s="10"/>
      <c r="B14" s="11"/>
      <c r="C14" s="12" t="s">
        <v>13</v>
      </c>
      <c r="E14" s="13"/>
      <c r="F14" s="6"/>
      <c r="G14" s="2"/>
      <c r="H14" s="2"/>
      <c r="K14" s="2"/>
      <c r="L14" s="2"/>
      <c r="M14" s="2"/>
      <c r="N14" s="2"/>
      <c r="O14" s="2"/>
      <c r="P14" s="2"/>
      <c r="Q14" s="2"/>
      <c r="R14" s="2"/>
      <c r="S14" s="2"/>
      <c r="T14" s="2"/>
      <c r="U14" s="2"/>
      <c r="V14" s="2"/>
      <c r="W14" s="2"/>
      <c r="X14" s="2"/>
      <c r="Y14" s="2"/>
      <c r="Z14" s="2"/>
      <c r="AA14" s="2"/>
    </row>
    <row r="15" spans="1:27" ht="16">
      <c r="A15" s="10"/>
      <c r="B15" s="11"/>
      <c r="C15" s="12" t="s">
        <v>14</v>
      </c>
      <c r="D15" s="13"/>
      <c r="E15" s="13">
        <f t="shared" ref="E15:E20" si="1">D15*12</f>
        <v>0</v>
      </c>
      <c r="F15" s="6"/>
      <c r="G15" s="2"/>
      <c r="H15" s="2"/>
      <c r="J15" s="2"/>
      <c r="K15" s="2"/>
      <c r="L15" s="2"/>
      <c r="M15" s="2"/>
      <c r="N15" s="2"/>
      <c r="O15" s="2"/>
      <c r="P15" s="2"/>
      <c r="Q15" s="2"/>
      <c r="R15" s="2"/>
      <c r="S15" s="2"/>
      <c r="T15" s="2"/>
      <c r="U15" s="2"/>
      <c r="V15" s="2"/>
      <c r="W15" s="2"/>
      <c r="X15" s="2"/>
      <c r="Y15" s="2"/>
      <c r="Z15" s="2"/>
      <c r="AA15" s="2"/>
    </row>
    <row r="16" spans="1:27" ht="16">
      <c r="A16" s="10"/>
      <c r="B16" s="11"/>
      <c r="C16" s="12" t="s">
        <v>15</v>
      </c>
      <c r="D16" s="13">
        <v>1840</v>
      </c>
      <c r="E16" s="13">
        <f>D16*12</f>
        <v>22080</v>
      </c>
      <c r="F16" s="6"/>
      <c r="G16" s="2"/>
      <c r="H16" s="2"/>
      <c r="I16" s="2"/>
      <c r="J16" s="2"/>
      <c r="K16" s="2"/>
      <c r="L16" s="2"/>
      <c r="M16" s="2"/>
      <c r="N16" s="2"/>
      <c r="O16" s="2"/>
      <c r="P16" s="2"/>
      <c r="Q16" s="2"/>
      <c r="R16" s="2"/>
      <c r="S16" s="2"/>
      <c r="T16" s="2"/>
      <c r="U16" s="2"/>
      <c r="V16" s="2"/>
      <c r="W16" s="2"/>
      <c r="X16" s="2"/>
      <c r="Y16" s="2"/>
      <c r="Z16" s="2"/>
      <c r="AA16" s="2"/>
    </row>
    <row r="17" spans="1:27" ht="16">
      <c r="A17" s="10"/>
      <c r="B17" s="11"/>
      <c r="C17" s="12" t="s">
        <v>16</v>
      </c>
      <c r="D17" s="13"/>
      <c r="E17" s="13">
        <f>D17*12</f>
        <v>0</v>
      </c>
      <c r="F17" s="6"/>
      <c r="G17" s="2"/>
      <c r="H17" s="2"/>
      <c r="I17" s="2"/>
      <c r="J17" s="2"/>
      <c r="K17" s="2"/>
      <c r="L17" s="2"/>
      <c r="M17" s="2"/>
      <c r="N17" s="2"/>
      <c r="O17" s="2"/>
      <c r="P17" s="2"/>
      <c r="Q17" s="2"/>
      <c r="R17" s="2"/>
      <c r="S17" s="2"/>
      <c r="T17" s="2"/>
      <c r="U17" s="2"/>
      <c r="V17" s="2"/>
      <c r="W17" s="2"/>
      <c r="X17" s="2"/>
      <c r="Y17" s="2"/>
      <c r="Z17" s="2"/>
      <c r="AA17" s="2"/>
    </row>
    <row r="18" spans="1:27" ht="16">
      <c r="A18" s="10"/>
      <c r="B18" s="11"/>
      <c r="C18" s="108" t="s">
        <v>163</v>
      </c>
      <c r="D18" s="13">
        <v>500</v>
      </c>
      <c r="E18" s="13">
        <f>D18*12</f>
        <v>6000</v>
      </c>
      <c r="F18" s="6"/>
      <c r="G18" s="2"/>
      <c r="H18" s="2"/>
      <c r="I18" s="2"/>
      <c r="J18" s="2"/>
      <c r="K18" s="2"/>
      <c r="L18" s="2"/>
      <c r="M18" s="2"/>
      <c r="N18" s="2"/>
      <c r="O18" s="2"/>
      <c r="P18" s="2"/>
      <c r="Q18" s="2"/>
      <c r="R18" s="2"/>
      <c r="S18" s="2"/>
      <c r="T18" s="2"/>
      <c r="U18" s="2"/>
      <c r="V18" s="2"/>
      <c r="W18" s="2"/>
      <c r="X18" s="2"/>
      <c r="Y18" s="2"/>
      <c r="Z18" s="2"/>
      <c r="AA18" s="2"/>
    </row>
    <row r="19" spans="1:27" ht="16">
      <c r="A19" s="10"/>
      <c r="B19" s="11"/>
      <c r="C19" s="89" t="s">
        <v>189</v>
      </c>
      <c r="D19" s="90">
        <v>2000</v>
      </c>
      <c r="E19" s="13">
        <v>24000</v>
      </c>
      <c r="F19" s="6"/>
      <c r="G19" s="2"/>
      <c r="H19" s="2"/>
      <c r="I19" s="2"/>
      <c r="J19" s="2"/>
      <c r="K19" s="2"/>
      <c r="L19" s="2"/>
      <c r="M19" s="2"/>
      <c r="N19" s="2"/>
      <c r="O19" s="2"/>
      <c r="P19" s="2"/>
      <c r="Q19" s="2"/>
      <c r="R19" s="2"/>
      <c r="S19" s="2"/>
      <c r="T19" s="2"/>
      <c r="U19" s="2"/>
      <c r="V19" s="2"/>
      <c r="W19" s="2"/>
      <c r="X19" s="2"/>
      <c r="Y19" s="2"/>
      <c r="Z19" s="2"/>
      <c r="AA19" s="2"/>
    </row>
    <row r="20" spans="1:27" ht="16">
      <c r="A20" s="10"/>
      <c r="B20" s="11"/>
      <c r="C20" s="12" t="s">
        <v>17</v>
      </c>
      <c r="D20" s="13">
        <v>0</v>
      </c>
      <c r="E20" s="13">
        <f t="shared" si="1"/>
        <v>0</v>
      </c>
      <c r="F20" s="6"/>
      <c r="G20" s="2"/>
      <c r="H20" s="2"/>
      <c r="I20" s="2"/>
      <c r="J20" s="2"/>
      <c r="K20" s="2"/>
      <c r="L20" s="2"/>
      <c r="M20" s="2"/>
      <c r="N20" s="2"/>
      <c r="O20" s="2"/>
      <c r="P20" s="2"/>
      <c r="Q20" s="2"/>
      <c r="R20" s="2"/>
      <c r="S20" s="2"/>
      <c r="T20" s="2"/>
      <c r="U20" s="2"/>
      <c r="V20" s="2"/>
      <c r="W20" s="2"/>
      <c r="X20" s="2"/>
      <c r="Y20" s="2"/>
      <c r="Z20" s="2"/>
      <c r="AA20" s="2"/>
    </row>
    <row r="21" spans="1:27" ht="16">
      <c r="A21" s="15"/>
      <c r="B21" s="16"/>
      <c r="C21" s="23" t="s">
        <v>18</v>
      </c>
      <c r="D21" s="24">
        <f>SUM(D15:D20)</f>
        <v>4340</v>
      </c>
      <c r="E21" s="24">
        <f>SUM(E14:E20)</f>
        <v>52080</v>
      </c>
      <c r="F21" s="6"/>
      <c r="G21" s="25">
        <f>D21/D10</f>
        <v>0.37739130434782608</v>
      </c>
      <c r="H21" s="200" t="s">
        <v>19</v>
      </c>
      <c r="I21" s="201"/>
      <c r="J21" s="201"/>
      <c r="K21" s="201"/>
      <c r="L21" s="202"/>
      <c r="M21" s="2"/>
      <c r="N21" s="2"/>
      <c r="O21" s="2"/>
      <c r="P21" s="2"/>
      <c r="Q21" s="2"/>
      <c r="R21" s="2"/>
      <c r="S21" s="2"/>
      <c r="T21" s="2"/>
      <c r="U21" s="2"/>
      <c r="V21" s="2"/>
      <c r="W21" s="2"/>
      <c r="X21" s="2"/>
      <c r="Y21" s="2"/>
      <c r="Z21" s="2"/>
      <c r="AA21" s="2"/>
    </row>
    <row r="22" spans="1:27" ht="16">
      <c r="A22" s="19"/>
      <c r="B22" s="20"/>
      <c r="C22" s="26" t="s">
        <v>20</v>
      </c>
      <c r="D22" s="27" t="s">
        <v>5</v>
      </c>
      <c r="E22" s="27" t="s">
        <v>6</v>
      </c>
      <c r="F22" s="28"/>
      <c r="H22" s="29"/>
      <c r="I22" s="29"/>
      <c r="J22" s="2"/>
      <c r="K22" s="2"/>
      <c r="L22" s="2"/>
      <c r="M22" s="2"/>
      <c r="N22" s="2"/>
      <c r="O22" s="2"/>
      <c r="P22" s="2"/>
      <c r="Q22" s="2"/>
      <c r="R22" s="2"/>
      <c r="S22" s="2"/>
      <c r="T22" s="2"/>
      <c r="U22" s="2"/>
      <c r="V22" s="2"/>
      <c r="W22" s="2"/>
      <c r="X22" s="2"/>
      <c r="Y22" s="2"/>
      <c r="Z22" s="2"/>
      <c r="AA22" s="2"/>
    </row>
    <row r="23" spans="1:27" ht="16">
      <c r="A23" s="10"/>
      <c r="B23" s="11"/>
      <c r="C23" s="12" t="s">
        <v>21</v>
      </c>
      <c r="D23" s="13">
        <v>2150</v>
      </c>
      <c r="E23" s="13">
        <f t="shared" ref="E23:E28" si="2">D23*12</f>
        <v>25800</v>
      </c>
      <c r="F23" s="28"/>
      <c r="G23" s="29"/>
      <c r="H23" s="29"/>
      <c r="I23" s="29"/>
      <c r="J23" s="209" t="s">
        <v>22</v>
      </c>
      <c r="K23" s="191"/>
      <c r="L23" s="191"/>
      <c r="M23" s="192"/>
      <c r="N23" s="2"/>
      <c r="O23" s="2"/>
      <c r="P23" s="2"/>
      <c r="Q23" s="2"/>
      <c r="R23" s="2"/>
      <c r="S23" s="2"/>
      <c r="T23" s="2"/>
      <c r="U23" s="2"/>
      <c r="V23" s="2"/>
      <c r="W23" s="2"/>
      <c r="X23" s="2"/>
      <c r="Y23" s="2"/>
      <c r="Z23" s="2"/>
      <c r="AA23" s="2"/>
    </row>
    <row r="24" spans="1:27" ht="16">
      <c r="A24" s="10"/>
      <c r="B24" s="11"/>
      <c r="C24" s="12" t="s">
        <v>23</v>
      </c>
      <c r="D24" s="13">
        <v>15</v>
      </c>
      <c r="E24" s="13">
        <f t="shared" si="2"/>
        <v>180</v>
      </c>
      <c r="F24" s="28"/>
      <c r="G24" s="29"/>
      <c r="H24" s="29"/>
      <c r="I24" s="29"/>
      <c r="J24" s="30"/>
      <c r="K24" s="31" t="s">
        <v>24</v>
      </c>
      <c r="L24" s="32" t="s">
        <v>25</v>
      </c>
      <c r="M24" s="33" t="s">
        <v>26</v>
      </c>
      <c r="N24" s="2"/>
      <c r="O24" s="2"/>
      <c r="P24" s="2"/>
      <c r="Q24" s="2"/>
      <c r="R24" s="2"/>
      <c r="S24" s="2"/>
      <c r="T24" s="2"/>
      <c r="U24" s="2"/>
      <c r="V24" s="2"/>
      <c r="W24" s="2"/>
      <c r="X24" s="2"/>
      <c r="Y24" s="2"/>
      <c r="Z24" s="2"/>
      <c r="AA24" s="2"/>
    </row>
    <row r="25" spans="1:27" ht="16">
      <c r="A25" s="10"/>
      <c r="B25" s="11"/>
      <c r="C25" s="12" t="s">
        <v>27</v>
      </c>
      <c r="D25" s="13">
        <v>0</v>
      </c>
      <c r="E25" s="13">
        <f t="shared" si="2"/>
        <v>0</v>
      </c>
      <c r="F25" s="28"/>
      <c r="G25" s="29"/>
      <c r="H25" s="29"/>
      <c r="I25" s="29"/>
      <c r="J25" s="34">
        <v>1</v>
      </c>
      <c r="K25" s="35" t="str">
        <f>C13</f>
        <v>PAY YOURSELF FIRST (PYF) - Savings &amp; Investing</v>
      </c>
      <c r="L25" s="36">
        <f>D21</f>
        <v>4340</v>
      </c>
      <c r="M25" s="37">
        <f>L25/L33</f>
        <v>0.40678601555909644</v>
      </c>
      <c r="N25" s="2"/>
      <c r="O25" s="2"/>
      <c r="P25" s="2"/>
      <c r="Q25" s="2"/>
      <c r="R25" s="2"/>
      <c r="S25" s="2"/>
      <c r="T25" s="2"/>
      <c r="U25" s="2"/>
      <c r="V25" s="2"/>
      <c r="W25" s="2"/>
      <c r="X25" s="2"/>
      <c r="Y25" s="2"/>
      <c r="Z25" s="2"/>
      <c r="AA25" s="2"/>
    </row>
    <row r="26" spans="1:27" ht="16">
      <c r="A26" s="10"/>
      <c r="B26" s="11"/>
      <c r="C26" s="12" t="s">
        <v>28</v>
      </c>
      <c r="D26" s="13">
        <v>45</v>
      </c>
      <c r="E26" s="13">
        <f t="shared" si="2"/>
        <v>540</v>
      </c>
      <c r="F26" s="28"/>
      <c r="G26" s="29"/>
      <c r="H26" s="29"/>
      <c r="I26" s="29"/>
      <c r="J26" s="34">
        <v>2</v>
      </c>
      <c r="K26" s="35" t="str">
        <f>C22</f>
        <v>HOUSEHOLD</v>
      </c>
      <c r="L26" s="36">
        <f>D29</f>
        <v>2370</v>
      </c>
      <c r="M26" s="37">
        <f>L26/L33</f>
        <v>0.22213890711406881</v>
      </c>
      <c r="N26" s="2"/>
      <c r="O26" s="2"/>
      <c r="P26" s="2"/>
      <c r="Q26" s="2"/>
      <c r="R26" s="2"/>
      <c r="S26" s="2"/>
      <c r="T26" s="2"/>
      <c r="U26" s="2"/>
      <c r="V26" s="2"/>
      <c r="W26" s="2"/>
      <c r="X26" s="2"/>
      <c r="Y26" s="2"/>
      <c r="Z26" s="2"/>
      <c r="AA26" s="2"/>
    </row>
    <row r="27" spans="1:27" ht="16">
      <c r="A27" s="10"/>
      <c r="B27" s="11"/>
      <c r="C27" s="12" t="s">
        <v>29</v>
      </c>
      <c r="D27" s="13">
        <v>60</v>
      </c>
      <c r="E27" s="13">
        <f t="shared" si="2"/>
        <v>720</v>
      </c>
      <c r="F27" s="28"/>
      <c r="G27" s="29"/>
      <c r="H27" s="29"/>
      <c r="I27" s="29"/>
      <c r="J27" s="34">
        <v>3</v>
      </c>
      <c r="K27" s="35" t="str">
        <f>C30</f>
        <v>FOOD</v>
      </c>
      <c r="L27" s="36">
        <f>D38</f>
        <v>600</v>
      </c>
      <c r="M27" s="37">
        <f>L27/L33</f>
        <v>5.6237698003561723E-2</v>
      </c>
      <c r="N27" s="2"/>
      <c r="O27" s="2"/>
      <c r="P27" s="2"/>
      <c r="Q27" s="2"/>
      <c r="R27" s="2"/>
      <c r="S27" s="2"/>
      <c r="T27" s="2"/>
      <c r="U27" s="2"/>
      <c r="V27" s="2"/>
      <c r="W27" s="2"/>
      <c r="X27" s="2"/>
      <c r="Y27" s="2"/>
      <c r="Z27" s="2"/>
      <c r="AA27" s="2"/>
    </row>
    <row r="28" spans="1:27" ht="16">
      <c r="A28" s="10"/>
      <c r="B28" s="11"/>
      <c r="C28" s="12" t="s">
        <v>30</v>
      </c>
      <c r="D28" s="13">
        <v>100</v>
      </c>
      <c r="E28" s="13">
        <f t="shared" si="2"/>
        <v>1200</v>
      </c>
      <c r="F28" s="28"/>
      <c r="G28" s="29"/>
      <c r="H28" s="29"/>
      <c r="I28" s="29"/>
      <c r="J28" s="34">
        <v>4</v>
      </c>
      <c r="K28" s="35" t="str">
        <f>C39</f>
        <v>TRANSPORTATION</v>
      </c>
      <c r="L28" s="36">
        <f>D47</f>
        <v>280</v>
      </c>
      <c r="M28" s="37">
        <f>L28/L33</f>
        <v>2.6244259068328803E-2</v>
      </c>
      <c r="N28" s="2"/>
      <c r="O28" s="2"/>
      <c r="P28" s="2"/>
      <c r="Q28" s="2"/>
      <c r="R28" s="2"/>
      <c r="S28" s="2"/>
      <c r="T28" s="2"/>
      <c r="U28" s="2"/>
      <c r="V28" s="2"/>
      <c r="W28" s="2"/>
      <c r="X28" s="2"/>
      <c r="Y28" s="2"/>
      <c r="Z28" s="2"/>
      <c r="AA28" s="2"/>
    </row>
    <row r="29" spans="1:27" ht="16">
      <c r="A29" s="15"/>
      <c r="B29" s="16"/>
      <c r="C29" s="38" t="s">
        <v>31</v>
      </c>
      <c r="D29" s="39">
        <f>SUM(D23:D28)</f>
        <v>2370</v>
      </c>
      <c r="E29" s="39">
        <f t="shared" ref="E29" si="3">SUM(E23:E28)</f>
        <v>28440</v>
      </c>
      <c r="F29" s="6"/>
      <c r="G29" s="2"/>
      <c r="H29" s="2"/>
      <c r="I29" s="2"/>
      <c r="J29" s="34">
        <v>5</v>
      </c>
      <c r="K29" s="35" t="str">
        <f>C48</f>
        <v>PERSONAL CARE</v>
      </c>
      <c r="L29" s="36">
        <f>D58</f>
        <v>840</v>
      </c>
      <c r="M29" s="37">
        <f>L29/L33</f>
        <v>7.8732777204986407E-2</v>
      </c>
      <c r="N29" s="2"/>
      <c r="O29" s="2"/>
      <c r="P29" s="2"/>
      <c r="Q29" s="2"/>
      <c r="R29" s="2"/>
      <c r="S29" s="2"/>
      <c r="T29" s="2"/>
      <c r="U29" s="2"/>
      <c r="V29" s="2"/>
      <c r="W29" s="2"/>
      <c r="X29" s="2"/>
      <c r="Y29" s="2"/>
      <c r="Z29" s="2"/>
      <c r="AA29" s="2"/>
    </row>
    <row r="30" spans="1:27" ht="16">
      <c r="A30" s="19"/>
      <c r="B30" s="20"/>
      <c r="C30" s="40" t="s">
        <v>32</v>
      </c>
      <c r="D30" s="41" t="s">
        <v>5</v>
      </c>
      <c r="E30" s="41" t="s">
        <v>6</v>
      </c>
      <c r="F30" s="6"/>
      <c r="G30" s="2"/>
      <c r="H30" s="2"/>
      <c r="I30" s="2"/>
      <c r="J30" s="34">
        <v>6</v>
      </c>
      <c r="K30" s="35" t="str">
        <f>C59</f>
        <v>ENTERTAINMENT &amp; TRAVEL (VACATIONS)</v>
      </c>
      <c r="L30" s="36">
        <f>D68</f>
        <v>14</v>
      </c>
      <c r="M30" s="37">
        <f>L30/L33</f>
        <v>1.3122129534164401E-3</v>
      </c>
      <c r="N30" s="2"/>
      <c r="O30" s="2"/>
      <c r="P30" s="2"/>
      <c r="Q30" s="2"/>
      <c r="R30" s="2"/>
      <c r="S30" s="2"/>
      <c r="T30" s="2"/>
      <c r="U30" s="2"/>
      <c r="V30" s="2"/>
      <c r="W30" s="2"/>
      <c r="X30" s="2"/>
      <c r="Y30" s="2"/>
      <c r="Z30" s="2"/>
      <c r="AA30" s="2"/>
    </row>
    <row r="31" spans="1:27" ht="16">
      <c r="A31" s="19"/>
      <c r="B31" s="20"/>
      <c r="C31" s="40"/>
      <c r="D31" s="41"/>
      <c r="E31" s="41"/>
      <c r="F31" s="6"/>
      <c r="G31" s="2"/>
      <c r="H31" s="2"/>
      <c r="I31" s="2"/>
      <c r="J31" s="34">
        <v>7</v>
      </c>
      <c r="K31" s="43" t="str">
        <f>C75</f>
        <v>TOTAL DEBT</v>
      </c>
      <c r="L31" s="44">
        <f>D75</f>
        <v>625</v>
      </c>
      <c r="M31" s="45">
        <f>L31/L33</f>
        <v>5.858093542037679E-2</v>
      </c>
      <c r="N31" s="2"/>
      <c r="O31" s="2"/>
      <c r="P31" s="2"/>
      <c r="Q31" s="2"/>
      <c r="R31" s="2"/>
      <c r="S31" s="2"/>
      <c r="T31" s="2"/>
      <c r="U31" s="2"/>
      <c r="V31" s="2"/>
      <c r="W31" s="2"/>
      <c r="X31" s="2"/>
      <c r="Y31" s="2"/>
      <c r="Z31" s="2"/>
      <c r="AA31" s="2"/>
    </row>
    <row r="32" spans="1:27" ht="16">
      <c r="A32" s="10"/>
      <c r="B32" s="11"/>
      <c r="C32" s="12" t="s">
        <v>33</v>
      </c>
      <c r="D32" s="13">
        <v>400</v>
      </c>
      <c r="E32" s="13">
        <f t="shared" ref="E32:E37" si="4">D32*12</f>
        <v>4800</v>
      </c>
      <c r="F32" s="6"/>
      <c r="G32" s="2"/>
      <c r="H32" s="2"/>
      <c r="I32" s="2"/>
      <c r="J32" s="42">
        <v>8</v>
      </c>
      <c r="K32" s="98" t="str">
        <f>C81</f>
        <v>TOTAL TAXES</v>
      </c>
      <c r="L32" s="101">
        <f>$D81</f>
        <v>1600</v>
      </c>
      <c r="M32" s="99">
        <f>L32/L33</f>
        <v>0.14996719467616459</v>
      </c>
      <c r="N32" s="2"/>
      <c r="O32" s="2"/>
      <c r="P32" s="2"/>
      <c r="Q32" s="2"/>
      <c r="R32" s="2"/>
      <c r="S32" s="2"/>
      <c r="T32" s="2"/>
      <c r="U32" s="2"/>
      <c r="V32" s="2"/>
      <c r="W32" s="2"/>
      <c r="X32" s="2"/>
      <c r="Y32" s="2"/>
      <c r="Z32" s="2"/>
      <c r="AA32" s="2"/>
    </row>
    <row r="33" spans="1:27" ht="16">
      <c r="A33" s="10"/>
      <c r="B33" s="11"/>
      <c r="C33" s="12" t="s">
        <v>34</v>
      </c>
      <c r="D33" s="13"/>
      <c r="E33" s="13">
        <f t="shared" si="4"/>
        <v>0</v>
      </c>
      <c r="F33" s="6"/>
      <c r="G33" s="2"/>
      <c r="H33" s="2"/>
      <c r="I33" s="2"/>
      <c r="J33" s="42"/>
      <c r="K33" s="102" t="s">
        <v>35</v>
      </c>
      <c r="L33" s="103">
        <f>SUM(L25:L32)</f>
        <v>10669</v>
      </c>
      <c r="M33" s="104">
        <f>SUM(M25:M32)</f>
        <v>1</v>
      </c>
      <c r="N33" s="2"/>
      <c r="O33" s="2"/>
      <c r="P33" s="2"/>
      <c r="Q33" s="2"/>
      <c r="R33" s="2"/>
      <c r="S33" s="2"/>
      <c r="T33" s="2"/>
      <c r="U33" s="2"/>
      <c r="V33" s="2"/>
      <c r="W33" s="2"/>
      <c r="X33" s="2"/>
      <c r="Y33" s="2"/>
      <c r="Z33" s="2"/>
      <c r="AA33" s="2"/>
    </row>
    <row r="34" spans="1:27" ht="16">
      <c r="A34" s="10"/>
      <c r="B34" s="11"/>
      <c r="C34" s="12" t="s">
        <v>36</v>
      </c>
      <c r="D34" s="13">
        <v>200</v>
      </c>
      <c r="E34" s="13">
        <f t="shared" si="4"/>
        <v>2400</v>
      </c>
      <c r="F34" s="6"/>
      <c r="G34" s="2"/>
      <c r="H34" s="2"/>
      <c r="I34" s="2"/>
      <c r="J34" s="2"/>
      <c r="K34" s="2"/>
      <c r="L34" s="2"/>
      <c r="M34" s="2"/>
      <c r="N34" s="2"/>
      <c r="O34" s="2"/>
      <c r="P34" s="2"/>
      <c r="Q34" s="2"/>
      <c r="R34" s="2"/>
      <c r="S34" s="2"/>
      <c r="T34" s="2"/>
      <c r="U34" s="2"/>
      <c r="V34" s="2"/>
      <c r="W34" s="2"/>
      <c r="X34" s="2"/>
      <c r="Y34" s="2"/>
      <c r="Z34" s="2"/>
      <c r="AA34" s="2"/>
    </row>
    <row r="35" spans="1:27" ht="16">
      <c r="A35" s="10"/>
      <c r="B35" s="11"/>
      <c r="C35" s="12" t="s">
        <v>37</v>
      </c>
      <c r="D35" s="13"/>
      <c r="E35" s="13">
        <f t="shared" si="4"/>
        <v>0</v>
      </c>
      <c r="F35" s="6"/>
      <c r="G35" s="2"/>
      <c r="H35" s="2"/>
      <c r="I35" s="2"/>
      <c r="J35" s="2"/>
      <c r="K35" s="2"/>
      <c r="L35" s="2"/>
      <c r="M35" s="2"/>
      <c r="N35" s="2"/>
      <c r="O35" s="2"/>
      <c r="P35" s="2"/>
      <c r="Q35" s="2"/>
      <c r="R35" s="2"/>
      <c r="S35" s="2"/>
      <c r="T35" s="2"/>
      <c r="U35" s="2"/>
      <c r="V35" s="2"/>
      <c r="W35" s="2"/>
      <c r="X35" s="2"/>
      <c r="Y35" s="2"/>
      <c r="Z35" s="2"/>
      <c r="AA35" s="2"/>
    </row>
    <row r="36" spans="1:27" ht="16">
      <c r="A36" s="10"/>
      <c r="B36" s="11"/>
      <c r="C36" s="12" t="s">
        <v>38</v>
      </c>
      <c r="D36" s="13"/>
      <c r="E36" s="13">
        <f t="shared" si="4"/>
        <v>0</v>
      </c>
      <c r="F36" s="6"/>
      <c r="G36" s="2"/>
      <c r="H36" s="2"/>
      <c r="I36" s="2"/>
      <c r="J36" s="2"/>
      <c r="K36" s="2"/>
      <c r="L36" s="2"/>
      <c r="M36" s="2"/>
      <c r="N36" s="2"/>
      <c r="O36" s="2"/>
      <c r="P36" s="2"/>
      <c r="Q36" s="2"/>
      <c r="R36" s="2"/>
      <c r="S36" s="2"/>
      <c r="T36" s="2"/>
      <c r="U36" s="2"/>
      <c r="V36" s="2"/>
      <c r="W36" s="2"/>
      <c r="X36" s="2"/>
      <c r="Y36" s="2"/>
      <c r="Z36" s="2"/>
      <c r="AA36" s="2"/>
    </row>
    <row r="37" spans="1:27" ht="16">
      <c r="A37" s="10"/>
      <c r="B37" s="11"/>
      <c r="C37" s="12" t="s">
        <v>39</v>
      </c>
      <c r="D37" s="13"/>
      <c r="E37" s="13">
        <f t="shared" si="4"/>
        <v>0</v>
      </c>
      <c r="F37" s="6"/>
      <c r="G37" s="2"/>
      <c r="H37" s="2"/>
      <c r="I37" s="2"/>
      <c r="J37" s="2"/>
      <c r="K37" s="2"/>
      <c r="L37" s="2"/>
      <c r="M37" s="2"/>
      <c r="N37" s="2"/>
      <c r="O37" s="2"/>
      <c r="P37" s="2"/>
      <c r="Q37" s="2"/>
      <c r="R37" s="2"/>
      <c r="S37" s="2"/>
      <c r="T37" s="2"/>
      <c r="U37" s="2"/>
      <c r="V37" s="2"/>
      <c r="W37" s="2"/>
      <c r="X37" s="2"/>
      <c r="Y37" s="2"/>
      <c r="Z37" s="2"/>
      <c r="AA37" s="2"/>
    </row>
    <row r="38" spans="1:27" ht="16">
      <c r="A38" s="15"/>
      <c r="B38" s="16"/>
      <c r="C38" s="46" t="s">
        <v>40</v>
      </c>
      <c r="D38" s="47">
        <f t="shared" ref="D38:E38" si="5">SUM(D32:D37)</f>
        <v>600</v>
      </c>
      <c r="E38" s="47">
        <f t="shared" si="5"/>
        <v>7200</v>
      </c>
      <c r="F38" s="6"/>
      <c r="G38" s="2"/>
      <c r="H38" s="2"/>
      <c r="I38" s="2"/>
      <c r="J38" s="2"/>
      <c r="K38" s="2"/>
      <c r="L38" s="2"/>
      <c r="M38" s="2"/>
      <c r="N38" s="2"/>
      <c r="O38" s="2"/>
      <c r="P38" s="2"/>
      <c r="Q38" s="2"/>
      <c r="R38" s="2"/>
      <c r="S38" s="2"/>
      <c r="T38" s="2"/>
      <c r="U38" s="2"/>
      <c r="V38" s="2"/>
      <c r="W38" s="2"/>
      <c r="X38" s="2"/>
      <c r="Y38" s="2"/>
      <c r="Z38" s="2"/>
      <c r="AA38" s="2"/>
    </row>
    <row r="39" spans="1:27" ht="16">
      <c r="A39" s="19"/>
      <c r="B39" s="20"/>
      <c r="C39" s="48" t="s">
        <v>41</v>
      </c>
      <c r="D39" s="49" t="s">
        <v>5</v>
      </c>
      <c r="E39" s="49" t="s">
        <v>6</v>
      </c>
      <c r="F39" s="6"/>
      <c r="G39" s="2"/>
      <c r="H39" s="210"/>
      <c r="I39" s="194"/>
      <c r="J39" s="194"/>
      <c r="K39" s="194"/>
      <c r="L39" s="194"/>
      <c r="M39" s="194"/>
      <c r="N39" s="2"/>
      <c r="O39" s="2"/>
      <c r="P39" s="2"/>
      <c r="Q39" s="2"/>
      <c r="R39" s="2"/>
      <c r="S39" s="2"/>
      <c r="T39" s="2"/>
      <c r="U39" s="2"/>
      <c r="V39" s="2"/>
      <c r="W39" s="2"/>
      <c r="X39" s="2"/>
      <c r="Y39" s="2"/>
      <c r="Z39" s="2"/>
      <c r="AA39" s="2"/>
    </row>
    <row r="40" spans="1:27" ht="16">
      <c r="A40" s="10"/>
      <c r="B40" s="11"/>
      <c r="C40" s="12" t="s">
        <v>42</v>
      </c>
      <c r="D40" s="13">
        <v>120</v>
      </c>
      <c r="E40" s="13">
        <f t="shared" ref="E40:E46" si="6">D40*12</f>
        <v>1440</v>
      </c>
      <c r="F40" s="6"/>
      <c r="G40" s="2"/>
      <c r="H40" s="2"/>
      <c r="I40" s="2"/>
      <c r="J40" s="2"/>
      <c r="K40" s="2"/>
      <c r="L40" s="2"/>
      <c r="M40" s="2"/>
      <c r="N40" s="2"/>
      <c r="O40" s="2"/>
      <c r="P40" s="2"/>
      <c r="Q40" s="2"/>
      <c r="R40" s="2"/>
      <c r="S40" s="2"/>
      <c r="T40" s="2"/>
      <c r="U40" s="2"/>
      <c r="V40" s="2"/>
      <c r="W40" s="2"/>
      <c r="X40" s="2"/>
      <c r="Y40" s="2"/>
      <c r="Z40" s="2"/>
      <c r="AA40" s="2"/>
    </row>
    <row r="41" spans="1:27" ht="16">
      <c r="A41" s="10"/>
      <c r="B41" s="11"/>
      <c r="C41" s="12" t="s">
        <v>43</v>
      </c>
      <c r="D41" s="13">
        <v>50</v>
      </c>
      <c r="E41" s="13">
        <f t="shared" si="6"/>
        <v>600</v>
      </c>
      <c r="F41" s="6"/>
      <c r="G41" s="2"/>
      <c r="H41" s="2"/>
      <c r="I41" s="2"/>
      <c r="J41" s="2"/>
      <c r="K41" s="2"/>
      <c r="L41" s="2"/>
      <c r="M41" s="2"/>
      <c r="N41" s="2"/>
      <c r="O41" s="2"/>
      <c r="P41" s="2"/>
      <c r="Q41" s="2"/>
      <c r="R41" s="2"/>
      <c r="S41" s="2"/>
      <c r="T41" s="2"/>
      <c r="U41" s="2"/>
      <c r="V41" s="2"/>
      <c r="W41" s="2"/>
      <c r="X41" s="2"/>
      <c r="Y41" s="2"/>
      <c r="Z41" s="2"/>
      <c r="AA41" s="2"/>
    </row>
    <row r="42" spans="1:27" ht="16">
      <c r="A42" s="10"/>
      <c r="B42" s="11"/>
      <c r="C42" s="12" t="s">
        <v>27</v>
      </c>
      <c r="D42" s="13">
        <v>100</v>
      </c>
      <c r="E42" s="13">
        <f t="shared" si="6"/>
        <v>1200</v>
      </c>
      <c r="F42" s="6"/>
      <c r="G42" s="2"/>
      <c r="H42" s="2"/>
      <c r="I42" s="2"/>
      <c r="J42" s="2"/>
      <c r="K42" s="2"/>
      <c r="L42" s="2"/>
      <c r="M42" s="2"/>
      <c r="N42" s="2"/>
      <c r="O42" s="2"/>
      <c r="P42" s="2"/>
      <c r="Q42" s="2"/>
      <c r="R42" s="2"/>
      <c r="S42" s="2"/>
      <c r="T42" s="2"/>
      <c r="U42" s="2"/>
      <c r="V42" s="2"/>
      <c r="W42" s="2"/>
      <c r="X42" s="2"/>
      <c r="Y42" s="2"/>
      <c r="Z42" s="2"/>
      <c r="AA42" s="2"/>
    </row>
    <row r="43" spans="1:27" ht="16">
      <c r="A43" s="10"/>
      <c r="B43" s="11"/>
      <c r="C43" s="12" t="s">
        <v>44</v>
      </c>
      <c r="D43" s="13"/>
      <c r="E43" s="13">
        <f t="shared" si="6"/>
        <v>0</v>
      </c>
      <c r="F43" s="6"/>
      <c r="G43" s="2"/>
      <c r="H43" s="2"/>
      <c r="I43" s="2"/>
      <c r="J43" s="2"/>
      <c r="K43" s="2"/>
      <c r="L43" s="2"/>
      <c r="M43" s="2"/>
      <c r="N43" s="2"/>
      <c r="O43" s="2"/>
      <c r="P43" s="2"/>
      <c r="Q43" s="2"/>
      <c r="R43" s="2"/>
      <c r="S43" s="2"/>
      <c r="T43" s="2"/>
      <c r="U43" s="2"/>
      <c r="V43" s="2"/>
      <c r="W43" s="2"/>
      <c r="X43" s="2"/>
      <c r="Y43" s="2"/>
      <c r="Z43" s="2"/>
      <c r="AA43" s="2"/>
    </row>
    <row r="44" spans="1:27" ht="16">
      <c r="A44" s="10"/>
      <c r="B44" s="11"/>
      <c r="C44" s="12" t="s">
        <v>45</v>
      </c>
      <c r="D44" s="13">
        <v>10</v>
      </c>
      <c r="E44" s="13">
        <f t="shared" si="6"/>
        <v>120</v>
      </c>
      <c r="F44" s="6"/>
      <c r="G44" s="2"/>
      <c r="H44" s="2"/>
      <c r="I44" s="2"/>
      <c r="J44" s="2"/>
      <c r="K44" s="2"/>
      <c r="L44" s="2"/>
      <c r="M44" s="2"/>
      <c r="N44" s="2"/>
      <c r="O44" s="2"/>
      <c r="P44" s="2"/>
      <c r="Q44" s="2"/>
      <c r="R44" s="2"/>
      <c r="S44" s="2"/>
      <c r="T44" s="2"/>
      <c r="U44" s="2"/>
      <c r="V44" s="2"/>
      <c r="W44" s="2"/>
      <c r="X44" s="2"/>
      <c r="Y44" s="2"/>
      <c r="Z44" s="2"/>
      <c r="AA44" s="2"/>
    </row>
    <row r="45" spans="1:27" ht="16">
      <c r="A45" s="10"/>
      <c r="B45" s="11"/>
      <c r="C45" s="12" t="s">
        <v>46</v>
      </c>
      <c r="D45" s="13"/>
      <c r="E45" s="13">
        <f t="shared" si="6"/>
        <v>0</v>
      </c>
      <c r="F45" s="6"/>
      <c r="G45" s="2"/>
      <c r="H45" s="2"/>
      <c r="I45" s="2"/>
      <c r="J45" s="2"/>
      <c r="K45" s="2"/>
      <c r="L45" s="2"/>
      <c r="M45" s="2"/>
      <c r="N45" s="2"/>
      <c r="O45" s="2"/>
      <c r="P45" s="2"/>
      <c r="Q45" s="2"/>
      <c r="R45" s="2"/>
      <c r="S45" s="2"/>
      <c r="T45" s="2"/>
      <c r="U45" s="2"/>
      <c r="V45" s="2"/>
      <c r="W45" s="2"/>
      <c r="X45" s="2"/>
      <c r="Y45" s="2"/>
      <c r="Z45" s="2"/>
      <c r="AA45" s="2"/>
    </row>
    <row r="46" spans="1:27" ht="16">
      <c r="A46" s="10"/>
      <c r="B46" s="11"/>
      <c r="C46" s="12" t="s">
        <v>47</v>
      </c>
      <c r="D46" s="13"/>
      <c r="E46" s="13">
        <f t="shared" si="6"/>
        <v>0</v>
      </c>
      <c r="F46" s="6"/>
      <c r="G46" s="2"/>
      <c r="H46" s="2"/>
      <c r="I46" s="2"/>
      <c r="J46" s="2"/>
      <c r="K46" s="2"/>
      <c r="L46" s="2"/>
      <c r="M46" s="2"/>
      <c r="N46" s="2"/>
      <c r="O46" s="2"/>
      <c r="P46" s="2"/>
      <c r="Q46" s="2"/>
      <c r="R46" s="2"/>
      <c r="S46" s="2"/>
      <c r="T46" s="2"/>
      <c r="U46" s="2"/>
      <c r="V46" s="2"/>
      <c r="W46" s="2"/>
      <c r="X46" s="2"/>
      <c r="Y46" s="2"/>
      <c r="Z46" s="2"/>
      <c r="AA46" s="2"/>
    </row>
    <row r="47" spans="1:27" ht="16">
      <c r="A47" s="15"/>
      <c r="B47" s="16"/>
      <c r="C47" s="50" t="s">
        <v>48</v>
      </c>
      <c r="D47" s="51">
        <f>SUM(D40:D46)</f>
        <v>280</v>
      </c>
      <c r="E47" s="51">
        <f>SUM(E40:E46)</f>
        <v>3360</v>
      </c>
      <c r="F47" s="6"/>
      <c r="G47" s="2"/>
      <c r="H47" s="2"/>
      <c r="I47" s="2"/>
      <c r="J47" s="2"/>
      <c r="K47" s="2"/>
      <c r="L47" s="2"/>
      <c r="M47" s="2"/>
      <c r="N47" s="2"/>
      <c r="O47" s="2"/>
      <c r="P47" s="2"/>
      <c r="Q47" s="2"/>
      <c r="R47" s="2"/>
      <c r="S47" s="2"/>
      <c r="T47" s="2"/>
      <c r="U47" s="2"/>
      <c r="V47" s="2"/>
      <c r="W47" s="2"/>
      <c r="X47" s="2"/>
      <c r="Y47" s="2"/>
      <c r="Z47" s="2"/>
      <c r="AA47" s="2"/>
    </row>
    <row r="48" spans="1:27" ht="16">
      <c r="A48" s="19"/>
      <c r="B48" s="20"/>
      <c r="C48" s="52" t="s">
        <v>49</v>
      </c>
      <c r="D48" s="53" t="s">
        <v>5</v>
      </c>
      <c r="E48" s="53" t="s">
        <v>6</v>
      </c>
      <c r="F48" s="6"/>
      <c r="G48" s="2"/>
      <c r="H48" s="2"/>
      <c r="I48" s="2"/>
      <c r="J48" s="2"/>
      <c r="K48" s="2"/>
      <c r="L48" s="2"/>
      <c r="M48" s="2"/>
      <c r="N48" s="2"/>
      <c r="O48" s="2"/>
      <c r="P48" s="2"/>
      <c r="Q48" s="2"/>
      <c r="R48" s="2"/>
      <c r="S48" s="2"/>
      <c r="T48" s="2"/>
      <c r="U48" s="2"/>
      <c r="V48" s="2"/>
      <c r="W48" s="2"/>
      <c r="X48" s="2"/>
      <c r="Y48" s="2"/>
      <c r="Z48" s="2"/>
      <c r="AA48" s="2"/>
    </row>
    <row r="49" spans="1:27" ht="16">
      <c r="A49" s="10"/>
      <c r="B49" s="11"/>
      <c r="C49" s="12" t="s">
        <v>50</v>
      </c>
      <c r="D49" s="13"/>
      <c r="E49" s="13">
        <f t="shared" ref="E49:E57" si="7">D49*12</f>
        <v>0</v>
      </c>
      <c r="F49" s="6"/>
      <c r="G49" s="2"/>
      <c r="H49" s="2"/>
      <c r="I49" s="2"/>
      <c r="J49" s="2"/>
      <c r="K49" s="2"/>
      <c r="L49" s="2"/>
      <c r="M49" s="2"/>
      <c r="N49" s="2"/>
      <c r="O49" s="2"/>
      <c r="P49" s="2"/>
      <c r="Q49" s="2"/>
      <c r="R49" s="2"/>
      <c r="S49" s="2"/>
      <c r="T49" s="2"/>
      <c r="U49" s="2"/>
      <c r="V49" s="2"/>
      <c r="W49" s="2"/>
      <c r="X49" s="2"/>
      <c r="Y49" s="2"/>
      <c r="Z49" s="2"/>
      <c r="AA49" s="2"/>
    </row>
    <row r="50" spans="1:27" ht="16">
      <c r="A50" s="10"/>
      <c r="B50" s="11"/>
      <c r="C50" s="12" t="s">
        <v>51</v>
      </c>
      <c r="D50" s="13"/>
      <c r="E50" s="13">
        <f t="shared" si="7"/>
        <v>0</v>
      </c>
      <c r="F50" s="6"/>
      <c r="G50" s="2"/>
      <c r="H50" s="2"/>
      <c r="I50" s="2"/>
      <c r="J50" s="2"/>
      <c r="K50" s="2"/>
      <c r="L50" s="2"/>
      <c r="M50" s="2"/>
      <c r="N50" s="2"/>
      <c r="O50" s="2"/>
      <c r="P50" s="2"/>
      <c r="Q50" s="2"/>
      <c r="R50" s="2"/>
      <c r="S50" s="2"/>
      <c r="T50" s="2"/>
      <c r="U50" s="2"/>
      <c r="V50" s="2"/>
      <c r="W50" s="2"/>
      <c r="X50" s="2"/>
      <c r="Y50" s="2"/>
      <c r="Z50" s="2"/>
      <c r="AA50" s="2"/>
    </row>
    <row r="51" spans="1:27" ht="16">
      <c r="A51" s="10"/>
      <c r="B51" s="11"/>
      <c r="C51" s="12" t="s">
        <v>53</v>
      </c>
      <c r="D51" s="13"/>
      <c r="E51" s="13">
        <f t="shared" si="7"/>
        <v>0</v>
      </c>
      <c r="F51" s="6"/>
      <c r="G51" s="2"/>
      <c r="H51" s="2"/>
      <c r="I51" s="2"/>
      <c r="J51" s="2"/>
      <c r="K51" s="2"/>
      <c r="L51" s="2"/>
      <c r="M51" s="2"/>
      <c r="N51" s="2"/>
      <c r="O51" s="2"/>
      <c r="P51" s="2"/>
      <c r="Q51" s="2"/>
      <c r="R51" s="2"/>
      <c r="S51" s="2"/>
      <c r="T51" s="2"/>
      <c r="U51" s="2"/>
      <c r="V51" s="2"/>
      <c r="W51" s="2"/>
      <c r="X51" s="2"/>
      <c r="Y51" s="2"/>
      <c r="Z51" s="2"/>
      <c r="AA51" s="2"/>
    </row>
    <row r="52" spans="1:27" ht="16">
      <c r="A52" s="10"/>
      <c r="B52" s="11"/>
      <c r="C52" s="12" t="s">
        <v>54</v>
      </c>
      <c r="D52" s="13"/>
      <c r="E52" s="13">
        <f t="shared" si="7"/>
        <v>0</v>
      </c>
      <c r="F52" s="6"/>
      <c r="G52" s="2"/>
      <c r="H52" s="2"/>
      <c r="I52" s="2"/>
      <c r="J52" s="2"/>
      <c r="K52" s="2"/>
      <c r="L52" s="2"/>
      <c r="M52" s="2"/>
      <c r="N52" s="2"/>
      <c r="O52" s="2"/>
      <c r="P52" s="2"/>
      <c r="Q52" s="2"/>
      <c r="R52" s="2"/>
      <c r="S52" s="2"/>
      <c r="T52" s="2"/>
      <c r="U52" s="2"/>
      <c r="V52" s="2"/>
      <c r="W52" s="2"/>
      <c r="X52" s="2"/>
      <c r="Y52" s="2"/>
      <c r="Z52" s="2"/>
      <c r="AA52" s="2"/>
    </row>
    <row r="53" spans="1:27" ht="16">
      <c r="A53" s="10"/>
      <c r="B53" s="11"/>
      <c r="C53" s="12" t="s">
        <v>55</v>
      </c>
      <c r="D53" s="13"/>
      <c r="E53" s="13">
        <f t="shared" si="7"/>
        <v>0</v>
      </c>
      <c r="F53" s="6"/>
      <c r="G53" s="2"/>
      <c r="H53" s="2"/>
      <c r="I53" s="2"/>
      <c r="J53" s="2"/>
      <c r="K53" s="2"/>
      <c r="L53" s="2"/>
      <c r="M53" s="2"/>
      <c r="N53" s="2"/>
      <c r="O53" s="2"/>
      <c r="P53" s="2"/>
      <c r="Q53" s="2"/>
      <c r="R53" s="2"/>
      <c r="S53" s="2"/>
      <c r="T53" s="2"/>
      <c r="U53" s="2"/>
      <c r="V53" s="2"/>
      <c r="W53" s="2"/>
      <c r="X53" s="2"/>
      <c r="Y53" s="2"/>
      <c r="Z53" s="2"/>
      <c r="AA53" s="2"/>
    </row>
    <row r="54" spans="1:27" ht="16">
      <c r="A54" s="10"/>
      <c r="B54" s="11"/>
      <c r="C54" s="12" t="s">
        <v>56</v>
      </c>
      <c r="D54" s="13"/>
      <c r="E54" s="13">
        <f t="shared" si="7"/>
        <v>0</v>
      </c>
      <c r="F54" s="6"/>
      <c r="G54" s="2"/>
      <c r="H54" s="2"/>
      <c r="I54" s="2"/>
      <c r="J54" s="2"/>
      <c r="K54" s="2"/>
      <c r="L54" s="2"/>
      <c r="M54" s="2"/>
      <c r="N54" s="2"/>
      <c r="O54" s="2"/>
      <c r="P54" s="2"/>
      <c r="Q54" s="2"/>
      <c r="R54" s="2"/>
      <c r="S54" s="2"/>
      <c r="T54" s="2"/>
      <c r="U54" s="2"/>
      <c r="V54" s="2"/>
      <c r="W54" s="2"/>
      <c r="X54" s="2"/>
      <c r="Y54" s="2"/>
      <c r="Z54" s="2"/>
      <c r="AA54" s="2"/>
    </row>
    <row r="55" spans="1:27" ht="16">
      <c r="A55" s="10"/>
      <c r="B55" s="11"/>
      <c r="C55" s="12" t="s">
        <v>181</v>
      </c>
      <c r="D55" s="13">
        <v>540</v>
      </c>
      <c r="E55" s="13">
        <f t="shared" si="7"/>
        <v>6480</v>
      </c>
      <c r="F55" s="6"/>
      <c r="G55" s="2"/>
      <c r="H55" s="2"/>
      <c r="I55" s="2"/>
      <c r="J55" s="2"/>
      <c r="K55" s="2"/>
      <c r="L55" s="2"/>
      <c r="M55" s="2"/>
      <c r="N55" s="2"/>
      <c r="O55" s="2"/>
      <c r="P55" s="2"/>
      <c r="Q55" s="2"/>
      <c r="R55" s="2"/>
      <c r="S55" s="2"/>
      <c r="T55" s="2"/>
      <c r="U55" s="2"/>
      <c r="V55" s="2"/>
      <c r="W55" s="2"/>
      <c r="X55" s="2"/>
      <c r="Y55" s="2"/>
      <c r="Z55" s="2"/>
      <c r="AA55" s="2"/>
    </row>
    <row r="56" spans="1:27" ht="16">
      <c r="A56" s="10"/>
      <c r="B56" s="11"/>
      <c r="C56" s="12" t="s">
        <v>166</v>
      </c>
      <c r="D56" s="13">
        <v>300</v>
      </c>
      <c r="E56" s="13">
        <v>300</v>
      </c>
      <c r="F56" s="6"/>
      <c r="G56" s="2"/>
      <c r="H56" s="2"/>
      <c r="I56" s="2"/>
      <c r="J56" s="2"/>
      <c r="K56" s="2"/>
      <c r="L56" s="2"/>
      <c r="M56" s="2"/>
      <c r="N56" s="2"/>
      <c r="O56" s="2"/>
      <c r="P56" s="2"/>
      <c r="Q56" s="2"/>
      <c r="R56" s="2"/>
      <c r="S56" s="2"/>
      <c r="T56" s="2"/>
      <c r="U56" s="2"/>
      <c r="V56" s="2"/>
      <c r="W56" s="2"/>
      <c r="X56" s="2"/>
      <c r="Y56" s="2"/>
      <c r="Z56" s="2"/>
      <c r="AA56" s="2"/>
    </row>
    <row r="57" spans="1:27" ht="16">
      <c r="A57" s="10"/>
      <c r="B57" s="11"/>
      <c r="C57" s="12" t="s">
        <v>57</v>
      </c>
      <c r="D57" s="13"/>
      <c r="E57" s="13">
        <f t="shared" si="7"/>
        <v>0</v>
      </c>
      <c r="F57" s="6"/>
      <c r="G57" s="2"/>
      <c r="H57" s="2"/>
      <c r="I57" s="2"/>
      <c r="J57" s="2"/>
      <c r="K57" s="2"/>
      <c r="L57" s="2"/>
      <c r="M57" s="2"/>
      <c r="N57" s="2"/>
      <c r="O57" s="2"/>
      <c r="P57" s="2"/>
      <c r="Q57" s="2"/>
      <c r="R57" s="2"/>
      <c r="S57" s="2"/>
      <c r="T57" s="2"/>
      <c r="U57" s="2"/>
      <c r="V57" s="2"/>
      <c r="W57" s="2"/>
      <c r="X57" s="2"/>
      <c r="Y57" s="2"/>
      <c r="Z57" s="2"/>
      <c r="AA57" s="2"/>
    </row>
    <row r="58" spans="1:27" ht="16">
      <c r="A58" s="15"/>
      <c r="B58" s="16"/>
      <c r="C58" s="54" t="s">
        <v>58</v>
      </c>
      <c r="D58" s="55">
        <f t="shared" ref="D58:E58" si="8">SUM(D49:D57)</f>
        <v>840</v>
      </c>
      <c r="E58" s="55">
        <f t="shared" si="8"/>
        <v>6780</v>
      </c>
      <c r="F58" s="6"/>
      <c r="G58" s="2"/>
      <c r="H58" s="2"/>
      <c r="I58" s="2"/>
      <c r="J58" s="2"/>
      <c r="K58" s="2"/>
      <c r="L58" s="2"/>
      <c r="M58" s="2"/>
      <c r="N58" s="2"/>
      <c r="O58" s="2"/>
      <c r="P58" s="2"/>
      <c r="Q58" s="2"/>
      <c r="R58" s="2"/>
      <c r="S58" s="2"/>
      <c r="T58" s="2"/>
      <c r="U58" s="2"/>
      <c r="V58" s="2"/>
      <c r="W58" s="2"/>
      <c r="X58" s="2"/>
      <c r="Y58" s="2"/>
      <c r="Z58" s="2"/>
      <c r="AA58" s="2"/>
    </row>
    <row r="59" spans="1:27" ht="16">
      <c r="A59" s="19"/>
      <c r="B59" s="20"/>
      <c r="C59" s="56" t="s">
        <v>59</v>
      </c>
      <c r="D59" s="57" t="s">
        <v>5</v>
      </c>
      <c r="E59" s="57" t="s">
        <v>6</v>
      </c>
      <c r="F59" s="6"/>
      <c r="G59" s="2"/>
      <c r="H59" s="2"/>
      <c r="I59" s="2"/>
      <c r="J59" s="2"/>
      <c r="K59" s="2"/>
      <c r="L59" s="2"/>
      <c r="M59" s="2"/>
      <c r="N59" s="2"/>
      <c r="O59" s="2"/>
      <c r="P59" s="2"/>
      <c r="Q59" s="2"/>
      <c r="R59" s="2"/>
      <c r="S59" s="2"/>
      <c r="T59" s="2"/>
      <c r="U59" s="2"/>
      <c r="V59" s="2"/>
      <c r="W59" s="2"/>
      <c r="X59" s="2"/>
      <c r="Y59" s="2"/>
      <c r="Z59" s="2"/>
      <c r="AA59" s="2"/>
    </row>
    <row r="60" spans="1:27" ht="16">
      <c r="A60" s="10"/>
      <c r="B60" s="11"/>
      <c r="C60" s="12" t="s">
        <v>60</v>
      </c>
      <c r="D60" s="13"/>
      <c r="E60" s="13">
        <f t="shared" ref="E60:E67" si="9">D60*12</f>
        <v>0</v>
      </c>
      <c r="F60" s="6"/>
      <c r="G60" s="2"/>
      <c r="H60" s="2"/>
      <c r="I60" s="2"/>
      <c r="J60" s="2"/>
      <c r="K60" s="2"/>
      <c r="L60" s="2"/>
      <c r="M60" s="2"/>
      <c r="N60" s="2"/>
      <c r="O60" s="2"/>
      <c r="P60" s="2"/>
      <c r="Q60" s="2"/>
      <c r="R60" s="2"/>
      <c r="S60" s="2"/>
      <c r="T60" s="2"/>
      <c r="U60" s="2"/>
      <c r="V60" s="2"/>
      <c r="W60" s="2"/>
      <c r="X60" s="2"/>
      <c r="Y60" s="2"/>
      <c r="Z60" s="2"/>
      <c r="AA60" s="2"/>
    </row>
    <row r="61" spans="1:27" ht="16">
      <c r="A61" s="10"/>
      <c r="B61" s="11"/>
      <c r="C61" s="12" t="s">
        <v>61</v>
      </c>
      <c r="D61" s="13"/>
      <c r="E61" s="13">
        <f t="shared" si="9"/>
        <v>0</v>
      </c>
      <c r="F61" s="6"/>
      <c r="G61" s="2"/>
      <c r="H61" s="2"/>
      <c r="I61" s="2"/>
      <c r="J61" s="2"/>
      <c r="K61" s="2"/>
      <c r="L61" s="2"/>
      <c r="M61" s="2"/>
      <c r="N61" s="2"/>
      <c r="O61" s="2"/>
      <c r="P61" s="2"/>
      <c r="Q61" s="2"/>
      <c r="R61" s="2"/>
      <c r="S61" s="2"/>
      <c r="T61" s="2"/>
      <c r="U61" s="2"/>
      <c r="V61" s="2"/>
      <c r="W61" s="2"/>
      <c r="X61" s="2"/>
      <c r="Y61" s="2"/>
      <c r="Z61" s="2"/>
      <c r="AA61" s="2"/>
    </row>
    <row r="62" spans="1:27" ht="16">
      <c r="A62" s="10"/>
      <c r="B62" s="11"/>
      <c r="C62" s="12" t="s">
        <v>62</v>
      </c>
      <c r="D62" s="13"/>
      <c r="E62" s="13">
        <f t="shared" si="9"/>
        <v>0</v>
      </c>
      <c r="F62" s="6"/>
      <c r="G62" s="2"/>
      <c r="H62" s="2"/>
      <c r="I62" s="2"/>
      <c r="J62" s="2"/>
      <c r="K62" s="2"/>
      <c r="L62" s="2"/>
      <c r="M62" s="2"/>
      <c r="N62" s="2"/>
      <c r="O62" s="2"/>
      <c r="P62" s="2"/>
      <c r="Q62" s="2"/>
      <c r="R62" s="2"/>
      <c r="S62" s="2"/>
      <c r="T62" s="2"/>
      <c r="U62" s="2"/>
      <c r="V62" s="2"/>
      <c r="W62" s="2"/>
      <c r="X62" s="2"/>
      <c r="Y62" s="2"/>
      <c r="Z62" s="2"/>
      <c r="AA62" s="2"/>
    </row>
    <row r="63" spans="1:27" ht="16">
      <c r="A63" s="10"/>
      <c r="B63" s="11"/>
      <c r="C63" s="12" t="s">
        <v>63</v>
      </c>
      <c r="D63" s="13"/>
      <c r="E63" s="13">
        <f t="shared" si="9"/>
        <v>0</v>
      </c>
      <c r="F63" s="6"/>
      <c r="G63" s="2"/>
      <c r="H63" s="2"/>
      <c r="I63" s="2"/>
      <c r="J63" s="2"/>
      <c r="K63" s="2"/>
      <c r="L63" s="2"/>
      <c r="M63" s="2"/>
      <c r="N63" s="2"/>
      <c r="O63" s="2"/>
      <c r="P63" s="2"/>
      <c r="Q63" s="2"/>
      <c r="R63" s="2"/>
      <c r="S63" s="2"/>
      <c r="T63" s="2"/>
      <c r="U63" s="2"/>
      <c r="V63" s="2"/>
      <c r="W63" s="2"/>
      <c r="X63" s="2"/>
      <c r="Y63" s="2"/>
      <c r="Z63" s="2"/>
      <c r="AA63" s="2"/>
    </row>
    <row r="64" spans="1:27" ht="16">
      <c r="A64" s="10"/>
      <c r="B64" s="11"/>
      <c r="C64" s="12" t="s">
        <v>64</v>
      </c>
      <c r="D64" s="13"/>
      <c r="E64" s="13">
        <f t="shared" si="9"/>
        <v>0</v>
      </c>
      <c r="F64" s="6"/>
      <c r="G64" s="2"/>
      <c r="H64" s="2"/>
      <c r="I64" s="2"/>
      <c r="J64" s="2"/>
      <c r="K64" s="2"/>
      <c r="L64" s="2"/>
      <c r="M64" s="2"/>
      <c r="N64" s="2"/>
      <c r="O64" s="2"/>
      <c r="P64" s="2"/>
      <c r="Q64" s="2"/>
      <c r="R64" s="2"/>
      <c r="S64" s="2"/>
      <c r="T64" s="2"/>
      <c r="U64" s="2"/>
      <c r="V64" s="2"/>
      <c r="W64" s="2"/>
      <c r="X64" s="2"/>
      <c r="Y64" s="2"/>
      <c r="Z64" s="2"/>
      <c r="AA64" s="2"/>
    </row>
    <row r="65" spans="1:27" ht="16">
      <c r="A65" s="10"/>
      <c r="B65" s="11"/>
      <c r="C65" s="12" t="s">
        <v>65</v>
      </c>
      <c r="D65" s="13"/>
      <c r="E65" s="13">
        <f t="shared" si="9"/>
        <v>0</v>
      </c>
      <c r="F65" s="6"/>
      <c r="G65" s="2"/>
      <c r="H65" s="2"/>
      <c r="I65" s="2"/>
      <c r="J65" s="2"/>
      <c r="K65" s="2"/>
      <c r="L65" s="2"/>
      <c r="M65" s="2"/>
      <c r="N65" s="2"/>
      <c r="O65" s="2"/>
      <c r="P65" s="2"/>
      <c r="Q65" s="2"/>
      <c r="R65" s="2"/>
      <c r="S65" s="2"/>
      <c r="T65" s="2"/>
      <c r="U65" s="2"/>
      <c r="V65" s="2"/>
      <c r="W65" s="2"/>
      <c r="X65" s="2"/>
      <c r="Y65" s="2"/>
      <c r="Z65" s="2"/>
      <c r="AA65" s="2"/>
    </row>
    <row r="66" spans="1:27" ht="16">
      <c r="A66" s="10"/>
      <c r="B66" s="11"/>
      <c r="C66" s="12" t="s">
        <v>66</v>
      </c>
      <c r="D66" s="13"/>
      <c r="E66" s="13">
        <f t="shared" si="9"/>
        <v>0</v>
      </c>
      <c r="F66" s="6"/>
      <c r="G66" s="2"/>
      <c r="H66" s="2"/>
      <c r="I66" s="2"/>
      <c r="J66" s="2"/>
      <c r="K66" s="2"/>
      <c r="L66" s="2"/>
      <c r="M66" s="2"/>
      <c r="N66" s="2"/>
      <c r="O66" s="2"/>
      <c r="P66" s="2"/>
      <c r="Q66" s="2"/>
      <c r="R66" s="2"/>
      <c r="S66" s="2"/>
      <c r="T66" s="2"/>
      <c r="U66" s="2"/>
      <c r="V66" s="2"/>
      <c r="W66" s="2"/>
      <c r="X66" s="2"/>
      <c r="Y66" s="2"/>
      <c r="Z66" s="2"/>
      <c r="AA66" s="2"/>
    </row>
    <row r="67" spans="1:27" ht="16">
      <c r="A67" s="10"/>
      <c r="B67" s="11"/>
      <c r="C67" s="12" t="s">
        <v>235</v>
      </c>
      <c r="D67" s="13">
        <v>14</v>
      </c>
      <c r="E67" s="13">
        <f t="shared" si="9"/>
        <v>168</v>
      </c>
      <c r="F67" s="6"/>
      <c r="G67" s="2"/>
      <c r="H67" s="2"/>
      <c r="I67" s="2"/>
      <c r="J67" s="2"/>
      <c r="K67" s="2"/>
      <c r="L67" s="2"/>
      <c r="M67" s="2"/>
      <c r="N67" s="2"/>
      <c r="O67" s="2"/>
      <c r="P67" s="2"/>
      <c r="Q67" s="2"/>
      <c r="R67" s="2"/>
      <c r="S67" s="2"/>
      <c r="T67" s="2"/>
      <c r="U67" s="2"/>
      <c r="V67" s="2"/>
      <c r="W67" s="2"/>
      <c r="X67" s="2"/>
      <c r="Y67" s="2"/>
      <c r="Z67" s="2"/>
      <c r="AA67" s="2"/>
    </row>
    <row r="68" spans="1:27" ht="16">
      <c r="A68" s="15"/>
      <c r="B68" s="16"/>
      <c r="C68" s="58" t="s">
        <v>67</v>
      </c>
      <c r="D68" s="59">
        <f>SUM(D60:D67)</f>
        <v>14</v>
      </c>
      <c r="E68" s="59">
        <f t="shared" ref="E68" si="10">SUM(E60:E67)</f>
        <v>168</v>
      </c>
      <c r="F68" s="6"/>
      <c r="G68" s="2"/>
      <c r="H68" s="2"/>
      <c r="I68" s="2"/>
      <c r="J68" s="2"/>
      <c r="K68" s="2"/>
      <c r="L68" s="2"/>
      <c r="M68" s="2"/>
      <c r="N68" s="2"/>
      <c r="O68" s="2"/>
      <c r="P68" s="2"/>
      <c r="Q68" s="2"/>
      <c r="R68" s="2"/>
      <c r="S68" s="2"/>
      <c r="T68" s="2"/>
      <c r="U68" s="2"/>
      <c r="V68" s="2"/>
      <c r="W68" s="2"/>
      <c r="X68" s="2"/>
      <c r="Y68" s="2"/>
      <c r="Z68" s="2"/>
      <c r="AA68" s="2"/>
    </row>
    <row r="69" spans="1:27" ht="16">
      <c r="A69" s="19"/>
      <c r="B69" s="20"/>
      <c r="C69" s="60" t="s">
        <v>68</v>
      </c>
      <c r="D69" s="61" t="s">
        <v>5</v>
      </c>
      <c r="E69" s="61" t="s">
        <v>6</v>
      </c>
      <c r="F69" s="6"/>
      <c r="G69" s="2"/>
      <c r="H69" s="2"/>
      <c r="I69" s="2"/>
      <c r="J69" s="2"/>
      <c r="K69" s="2"/>
      <c r="L69" s="2"/>
      <c r="M69" s="2"/>
      <c r="N69" s="2"/>
      <c r="O69" s="2"/>
      <c r="P69" s="2"/>
      <c r="Q69" s="2"/>
      <c r="R69" s="2"/>
      <c r="S69" s="2"/>
      <c r="T69" s="2"/>
      <c r="U69" s="2"/>
      <c r="V69" s="2"/>
      <c r="W69" s="2"/>
      <c r="X69" s="2"/>
      <c r="Y69" s="2"/>
      <c r="Z69" s="2"/>
      <c r="AA69" s="2"/>
    </row>
    <row r="70" spans="1:27" ht="16">
      <c r="A70" s="10"/>
      <c r="B70" s="11"/>
      <c r="C70" s="12" t="s">
        <v>95</v>
      </c>
      <c r="D70" s="62"/>
      <c r="E70" s="62">
        <f t="shared" ref="E70:E71" si="11">D70*12</f>
        <v>0</v>
      </c>
      <c r="F70" s="6"/>
      <c r="G70" s="2"/>
      <c r="H70" s="2"/>
      <c r="I70" s="2"/>
      <c r="J70" s="2"/>
      <c r="K70" s="2"/>
      <c r="L70" s="2"/>
      <c r="M70" s="2"/>
      <c r="N70" s="2"/>
      <c r="O70" s="2"/>
      <c r="P70" s="2"/>
      <c r="Q70" s="2"/>
      <c r="R70" s="2"/>
      <c r="S70" s="2"/>
      <c r="T70" s="2"/>
      <c r="U70" s="2"/>
      <c r="V70" s="2"/>
      <c r="W70" s="2"/>
      <c r="X70" s="2"/>
      <c r="Y70" s="2"/>
      <c r="Z70" s="2"/>
      <c r="AA70" s="2"/>
    </row>
    <row r="71" spans="1:27" ht="16">
      <c r="A71" s="10"/>
      <c r="B71" s="11"/>
      <c r="C71" s="12" t="s">
        <v>69</v>
      </c>
      <c r="D71" s="62">
        <v>0</v>
      </c>
      <c r="E71" s="62">
        <f t="shared" si="11"/>
        <v>0</v>
      </c>
      <c r="F71" s="6"/>
      <c r="G71" s="2"/>
      <c r="H71" s="2"/>
      <c r="I71" s="2"/>
      <c r="J71" s="2"/>
      <c r="K71" s="2"/>
      <c r="L71" s="2"/>
      <c r="M71" s="2"/>
      <c r="N71" s="2"/>
      <c r="O71" s="2"/>
      <c r="P71" s="2"/>
      <c r="Q71" s="2"/>
      <c r="R71" s="2"/>
      <c r="S71" s="2"/>
      <c r="T71" s="2"/>
      <c r="U71" s="2"/>
      <c r="V71" s="2"/>
      <c r="W71" s="2"/>
      <c r="X71" s="2"/>
      <c r="Y71" s="2"/>
      <c r="Z71" s="2"/>
      <c r="AA71" s="2"/>
    </row>
    <row r="72" spans="1:27" ht="16">
      <c r="A72" s="10"/>
      <c r="B72" s="11"/>
      <c r="C72" s="89" t="s">
        <v>96</v>
      </c>
      <c r="D72" s="90"/>
      <c r="E72" s="62">
        <f>D72*12</f>
        <v>0</v>
      </c>
      <c r="F72" s="6"/>
      <c r="G72" s="2"/>
      <c r="H72" s="2"/>
      <c r="I72" s="2"/>
      <c r="J72" s="2"/>
      <c r="K72" s="2"/>
      <c r="L72" s="2"/>
      <c r="M72" s="2"/>
      <c r="N72" s="2"/>
      <c r="O72" s="2"/>
      <c r="P72" s="2"/>
      <c r="Q72" s="2"/>
      <c r="R72" s="2"/>
      <c r="S72" s="2"/>
      <c r="T72" s="2"/>
      <c r="U72" s="2"/>
      <c r="V72" s="2"/>
      <c r="W72" s="2"/>
      <c r="X72" s="2"/>
      <c r="Y72" s="2"/>
      <c r="Z72" s="2"/>
      <c r="AA72" s="2"/>
    </row>
    <row r="73" spans="1:27" ht="16">
      <c r="A73" s="10"/>
      <c r="B73" s="11"/>
      <c r="E73" s="62">
        <v>24000</v>
      </c>
      <c r="F73" s="6"/>
      <c r="G73" s="2"/>
      <c r="H73" s="2"/>
      <c r="I73" s="2"/>
      <c r="J73" s="2"/>
      <c r="K73" s="2"/>
      <c r="L73" s="2"/>
      <c r="M73" s="2"/>
      <c r="N73" s="2"/>
      <c r="O73" s="2"/>
      <c r="P73" s="2"/>
      <c r="Q73" s="2"/>
      <c r="R73" s="2"/>
      <c r="S73" s="2"/>
      <c r="T73" s="2"/>
      <c r="U73" s="2"/>
      <c r="V73" s="2"/>
      <c r="W73" s="2"/>
      <c r="X73" s="2"/>
      <c r="Y73" s="2"/>
      <c r="Z73" s="2"/>
      <c r="AA73" s="2"/>
    </row>
    <row r="74" spans="1:27" ht="16">
      <c r="A74" s="15"/>
      <c r="B74" s="16"/>
      <c r="C74" s="89" t="s">
        <v>103</v>
      </c>
      <c r="D74" s="90">
        <v>625</v>
      </c>
      <c r="E74" s="62">
        <f>D74*12</f>
        <v>7500</v>
      </c>
      <c r="F74" s="6"/>
      <c r="G74" s="2"/>
      <c r="H74" s="2"/>
      <c r="I74" s="2"/>
      <c r="J74" s="2"/>
      <c r="K74" s="2"/>
      <c r="L74" s="2"/>
      <c r="M74" s="2"/>
      <c r="N74" s="2"/>
      <c r="O74" s="2"/>
      <c r="P74" s="2"/>
      <c r="Q74" s="2"/>
      <c r="R74" s="2"/>
      <c r="S74" s="2"/>
      <c r="T74" s="2"/>
      <c r="U74" s="2"/>
      <c r="V74" s="2"/>
      <c r="W74" s="2"/>
      <c r="X74" s="2"/>
      <c r="Y74" s="2"/>
      <c r="Z74" s="2"/>
      <c r="AA74" s="2"/>
    </row>
    <row r="75" spans="1:27" ht="16">
      <c r="A75" s="15"/>
      <c r="B75" s="16"/>
      <c r="C75" s="91" t="s">
        <v>70</v>
      </c>
      <c r="D75" s="92">
        <f>SUM(D70:D74)</f>
        <v>625</v>
      </c>
      <c r="E75" s="92">
        <f>D75*12</f>
        <v>7500</v>
      </c>
      <c r="F75" s="6"/>
      <c r="G75" s="2"/>
      <c r="H75" s="2"/>
      <c r="I75" s="2"/>
      <c r="J75" s="2"/>
      <c r="K75" s="2"/>
      <c r="L75" s="2"/>
      <c r="M75" s="2"/>
      <c r="N75" s="2"/>
      <c r="O75" s="2"/>
      <c r="P75" s="2"/>
      <c r="Q75" s="2"/>
      <c r="R75" s="2"/>
      <c r="S75" s="2"/>
      <c r="T75" s="2"/>
      <c r="U75" s="2"/>
      <c r="V75" s="2"/>
      <c r="W75" s="2"/>
      <c r="X75" s="2"/>
      <c r="Y75" s="2"/>
      <c r="Z75" s="2"/>
      <c r="AA75" s="2"/>
    </row>
    <row r="76" spans="1:27" ht="16">
      <c r="A76" s="15"/>
      <c r="B76" s="16"/>
      <c r="C76" s="96" t="s">
        <v>97</v>
      </c>
      <c r="D76" s="97"/>
      <c r="E76" s="97"/>
      <c r="F76" s="6"/>
      <c r="G76" s="2"/>
      <c r="H76" s="2"/>
      <c r="I76" s="2"/>
      <c r="J76" s="2"/>
      <c r="K76" s="2"/>
      <c r="L76" s="2"/>
      <c r="M76" s="2"/>
      <c r="N76" s="2"/>
      <c r="O76" s="2"/>
      <c r="P76" s="2"/>
      <c r="Q76" s="2"/>
      <c r="R76" s="2"/>
      <c r="S76" s="2"/>
      <c r="T76" s="2"/>
      <c r="U76" s="2"/>
      <c r="V76" s="2"/>
      <c r="W76" s="2"/>
      <c r="X76" s="2"/>
      <c r="Y76" s="2"/>
      <c r="Z76" s="2"/>
      <c r="AA76" s="2"/>
    </row>
    <row r="77" spans="1:27" ht="16">
      <c r="A77" s="15"/>
      <c r="B77" s="16"/>
      <c r="C77" s="93" t="s">
        <v>98</v>
      </c>
      <c r="D77" s="94">
        <v>580</v>
      </c>
      <c r="E77" s="94">
        <f>D77*12</f>
        <v>6960</v>
      </c>
      <c r="F77" s="6"/>
      <c r="G77" s="2"/>
      <c r="H77" s="2"/>
      <c r="I77" s="2"/>
      <c r="J77" s="2"/>
      <c r="K77" s="2"/>
      <c r="L77" s="2"/>
      <c r="M77" s="2"/>
      <c r="N77" s="2"/>
      <c r="O77" s="2"/>
      <c r="P77" s="2"/>
      <c r="Q77" s="2"/>
      <c r="R77" s="2"/>
      <c r="S77" s="2"/>
      <c r="T77" s="2"/>
      <c r="U77" s="2"/>
      <c r="V77" s="2"/>
      <c r="W77" s="2"/>
      <c r="X77" s="2"/>
      <c r="Y77" s="2"/>
      <c r="Z77" s="2"/>
      <c r="AA77" s="2"/>
    </row>
    <row r="78" spans="1:27" ht="16">
      <c r="A78" s="15"/>
      <c r="B78" s="16"/>
      <c r="C78" s="93" t="s">
        <v>99</v>
      </c>
      <c r="D78" s="94">
        <v>680</v>
      </c>
      <c r="E78" s="94">
        <f t="shared" ref="E78:E80" si="12">D78*12</f>
        <v>8160</v>
      </c>
      <c r="F78" s="6"/>
      <c r="G78" s="2"/>
      <c r="H78" s="2"/>
      <c r="I78" s="2"/>
      <c r="J78" s="2"/>
      <c r="K78" s="2"/>
      <c r="L78" s="2"/>
      <c r="M78" s="2"/>
      <c r="N78" s="2"/>
      <c r="O78" s="2"/>
      <c r="P78" s="2"/>
      <c r="Q78" s="2"/>
      <c r="R78" s="2"/>
      <c r="S78" s="2"/>
      <c r="T78" s="2"/>
      <c r="U78" s="2"/>
      <c r="V78" s="2"/>
      <c r="W78" s="2"/>
      <c r="X78" s="2"/>
      <c r="Y78" s="2"/>
      <c r="Z78" s="2"/>
      <c r="AA78" s="2"/>
    </row>
    <row r="79" spans="1:27" ht="16">
      <c r="A79" s="63"/>
      <c r="B79" s="64"/>
      <c r="C79" s="93" t="s">
        <v>100</v>
      </c>
      <c r="D79" s="94">
        <v>160</v>
      </c>
      <c r="E79" s="94">
        <f t="shared" si="12"/>
        <v>1920</v>
      </c>
      <c r="F79" s="14"/>
      <c r="G79" s="2"/>
      <c r="H79" s="2"/>
      <c r="I79" s="2"/>
      <c r="J79" s="2"/>
      <c r="K79" s="2"/>
      <c r="L79" s="2"/>
      <c r="M79" s="2"/>
      <c r="N79" s="2"/>
      <c r="O79" s="2"/>
      <c r="P79" s="2"/>
      <c r="Q79" s="2"/>
      <c r="R79" s="2"/>
      <c r="S79" s="2"/>
      <c r="T79" s="2"/>
      <c r="U79" s="2"/>
      <c r="V79" s="2"/>
      <c r="W79" s="2"/>
      <c r="X79" s="2"/>
      <c r="Y79" s="2"/>
      <c r="Z79" s="2"/>
      <c r="AA79" s="2"/>
    </row>
    <row r="80" spans="1:27" ht="16">
      <c r="A80" s="65"/>
      <c r="B80" s="66"/>
      <c r="C80" s="93" t="s">
        <v>101</v>
      </c>
      <c r="D80" s="94">
        <v>180</v>
      </c>
      <c r="E80" s="94">
        <f t="shared" si="12"/>
        <v>2160</v>
      </c>
      <c r="F80" s="14"/>
      <c r="G80" s="2"/>
      <c r="H80" s="2"/>
      <c r="I80" s="2"/>
      <c r="J80" s="2"/>
      <c r="K80" s="2"/>
      <c r="L80" s="2"/>
      <c r="M80" s="2"/>
      <c r="N80" s="2"/>
      <c r="O80" s="2"/>
      <c r="P80" s="2"/>
      <c r="Q80" s="2"/>
      <c r="R80" s="2"/>
      <c r="S80" s="2"/>
      <c r="T80" s="2"/>
      <c r="U80" s="2"/>
      <c r="V80" s="2"/>
      <c r="W80" s="2"/>
      <c r="X80" s="2"/>
      <c r="Y80" s="2"/>
      <c r="Z80" s="2"/>
      <c r="AA80" s="2"/>
    </row>
    <row r="81" spans="1:27" ht="16">
      <c r="A81" s="65"/>
      <c r="B81" s="66"/>
      <c r="C81" s="95" t="s">
        <v>102</v>
      </c>
      <c r="D81" s="100">
        <f>SUM(D77:D80)</f>
        <v>1600</v>
      </c>
      <c r="E81" s="100">
        <f>$D81*12</f>
        <v>19200</v>
      </c>
      <c r="F81" s="14"/>
      <c r="G81" s="2"/>
      <c r="H81" s="2"/>
      <c r="I81" s="2"/>
      <c r="J81" s="2"/>
      <c r="K81" s="2"/>
      <c r="L81" s="2"/>
      <c r="M81" s="2"/>
      <c r="N81" s="2"/>
      <c r="O81" s="2"/>
      <c r="P81" s="2"/>
      <c r="Q81" s="2"/>
      <c r="R81" s="2"/>
      <c r="S81" s="2"/>
      <c r="T81" s="2"/>
      <c r="U81" s="2"/>
      <c r="V81" s="2"/>
      <c r="W81" s="2"/>
      <c r="X81" s="2"/>
      <c r="Y81" s="2"/>
      <c r="Z81" s="2"/>
      <c r="AA81" s="2"/>
    </row>
    <row r="82" spans="1:27" ht="16">
      <c r="A82" s="69"/>
      <c r="B82" s="70"/>
      <c r="C82" s="67" t="s">
        <v>10</v>
      </c>
      <c r="D82" s="68">
        <f>D10</f>
        <v>11500</v>
      </c>
      <c r="E82" s="68">
        <f>(D10*12)</f>
        <v>138000</v>
      </c>
      <c r="F82" s="14"/>
      <c r="G82" s="2"/>
      <c r="H82" s="2"/>
      <c r="I82" s="2"/>
      <c r="J82" s="2"/>
      <c r="K82" s="2"/>
      <c r="L82" s="2"/>
      <c r="M82" s="2"/>
      <c r="N82" s="2"/>
      <c r="O82" s="2"/>
      <c r="P82" s="2"/>
      <c r="Q82" s="2"/>
      <c r="R82" s="2"/>
      <c r="S82" s="2"/>
      <c r="T82" s="2"/>
      <c r="U82" s="2"/>
      <c r="V82" s="2"/>
      <c r="W82" s="2"/>
      <c r="X82" s="2"/>
      <c r="Y82" s="2"/>
      <c r="Z82" s="2"/>
      <c r="AA82" s="2"/>
    </row>
    <row r="83" spans="1:27" ht="16">
      <c r="A83" s="2"/>
      <c r="B83" s="43"/>
      <c r="C83" s="67" t="s">
        <v>71</v>
      </c>
      <c r="D83" s="68">
        <f>SUM(D21+D29+D38+D47+D58+D68+D75+D81)</f>
        <v>10669</v>
      </c>
      <c r="E83" s="68">
        <f>D83*12</f>
        <v>128028</v>
      </c>
      <c r="F83" s="74"/>
      <c r="G83" s="2"/>
      <c r="H83" s="2"/>
      <c r="I83" s="2"/>
      <c r="J83" s="2"/>
      <c r="K83" s="2"/>
      <c r="L83" s="2"/>
      <c r="M83" s="2"/>
      <c r="N83" s="2"/>
      <c r="O83" s="2"/>
      <c r="P83" s="2"/>
      <c r="Q83" s="2"/>
      <c r="R83" s="2"/>
      <c r="S83" s="2"/>
      <c r="T83" s="2"/>
      <c r="U83" s="2"/>
      <c r="V83" s="2"/>
      <c r="W83" s="2"/>
      <c r="X83" s="2"/>
      <c r="Y83" s="2"/>
      <c r="Z83" s="2"/>
      <c r="AA83" s="2"/>
    </row>
    <row r="84" spans="1:27" ht="16">
      <c r="A84" s="2"/>
      <c r="B84" s="2"/>
      <c r="C84" s="71" t="s">
        <v>72</v>
      </c>
      <c r="D84" s="72">
        <f t="shared" ref="D84:E84" si="13">D82-D83</f>
        <v>831</v>
      </c>
      <c r="E84" s="72">
        <f t="shared" si="13"/>
        <v>9972</v>
      </c>
      <c r="F84" s="2"/>
      <c r="G84" s="2"/>
      <c r="H84" s="2"/>
      <c r="I84" s="2"/>
      <c r="J84" s="2"/>
      <c r="K84" s="2"/>
      <c r="L84" s="2"/>
      <c r="M84" s="2"/>
      <c r="N84" s="2"/>
      <c r="O84" s="2"/>
      <c r="P84" s="2"/>
      <c r="Q84" s="2"/>
      <c r="R84" s="2"/>
      <c r="S84" s="2"/>
      <c r="T84" s="2"/>
      <c r="U84" s="2"/>
      <c r="V84" s="2"/>
      <c r="W84" s="2"/>
      <c r="X84" s="2"/>
      <c r="Y84" s="2"/>
      <c r="Z84" s="2"/>
      <c r="AA84" s="2"/>
    </row>
    <row r="85" spans="1:27" ht="16">
      <c r="A85" s="2"/>
      <c r="B85" s="2" t="s">
        <v>73</v>
      </c>
      <c r="C85" s="73"/>
      <c r="D85" s="73"/>
      <c r="E85" s="73"/>
      <c r="F85" s="2"/>
      <c r="G85" s="2"/>
      <c r="H85" s="2"/>
      <c r="I85" s="2"/>
      <c r="J85" s="2"/>
      <c r="K85" s="2"/>
      <c r="L85" s="2"/>
      <c r="M85" s="2"/>
      <c r="N85" s="2"/>
      <c r="O85" s="2"/>
      <c r="P85" s="2"/>
      <c r="Q85" s="2"/>
      <c r="R85" s="2"/>
      <c r="S85" s="2"/>
      <c r="T85" s="2"/>
      <c r="U85" s="2"/>
      <c r="V85" s="2"/>
      <c r="W85" s="2"/>
      <c r="X85" s="2"/>
      <c r="Y85" s="2"/>
      <c r="Z85" s="2"/>
      <c r="AA85" s="2"/>
    </row>
    <row r="86" spans="1:27" ht="16">
      <c r="A86" s="2"/>
      <c r="B86" s="2">
        <v>1</v>
      </c>
      <c r="C86" s="75"/>
      <c r="D86" s="75"/>
      <c r="E86" s="75"/>
      <c r="F86" s="2"/>
      <c r="G86" s="2"/>
      <c r="H86" s="2"/>
      <c r="I86" s="2"/>
      <c r="J86" s="2"/>
      <c r="K86" s="2"/>
      <c r="L86" s="2"/>
      <c r="M86" s="2"/>
      <c r="N86" s="2"/>
      <c r="O86" s="2"/>
      <c r="P86" s="2"/>
      <c r="Q86" s="2"/>
      <c r="R86" s="2"/>
      <c r="S86" s="2"/>
      <c r="T86" s="2"/>
      <c r="U86" s="2"/>
      <c r="V86" s="2"/>
      <c r="W86" s="2"/>
      <c r="X86" s="2"/>
      <c r="Y86" s="2"/>
      <c r="Z86" s="2"/>
      <c r="AA86" s="2"/>
    </row>
    <row r="87" spans="1:27" ht="16">
      <c r="A87" s="76"/>
      <c r="B87" s="76">
        <v>2</v>
      </c>
      <c r="C87" s="75"/>
      <c r="D87" s="75"/>
      <c r="E87" s="75"/>
      <c r="F87" s="2"/>
      <c r="G87" s="2"/>
      <c r="H87" s="2"/>
      <c r="I87" s="2"/>
      <c r="J87" s="2"/>
      <c r="K87" s="2"/>
      <c r="L87" s="2"/>
      <c r="M87" s="2"/>
      <c r="N87" s="2"/>
      <c r="O87" s="2"/>
      <c r="P87" s="2"/>
      <c r="Q87" s="2"/>
      <c r="R87" s="2"/>
      <c r="S87" s="2"/>
      <c r="T87" s="2"/>
      <c r="U87" s="2"/>
      <c r="V87" s="2"/>
      <c r="W87" s="2"/>
      <c r="X87" s="2"/>
      <c r="Y87" s="2"/>
      <c r="Z87" s="2"/>
      <c r="AA87" s="2"/>
    </row>
    <row r="88" spans="1:27" ht="14">
      <c r="A88" s="76"/>
      <c r="B88" s="76"/>
      <c r="C88" s="76" t="s">
        <v>52</v>
      </c>
      <c r="D88" s="2"/>
      <c r="E88" s="2"/>
      <c r="F88" s="2"/>
      <c r="G88" s="2"/>
      <c r="H88" s="2"/>
      <c r="I88" s="2"/>
      <c r="J88" s="2"/>
      <c r="K88" s="2"/>
      <c r="L88" s="2"/>
      <c r="M88" s="2"/>
      <c r="N88" s="2"/>
      <c r="O88" s="2"/>
      <c r="P88" s="2"/>
      <c r="Q88" s="2"/>
      <c r="R88" s="2"/>
      <c r="S88" s="2"/>
      <c r="T88" s="2"/>
      <c r="U88" s="2"/>
      <c r="V88" s="2"/>
      <c r="W88" s="2"/>
      <c r="X88" s="2"/>
      <c r="Y88" s="2"/>
      <c r="Z88" s="2"/>
      <c r="AA88" s="2"/>
    </row>
    <row r="89" spans="1:27" ht="14">
      <c r="A89" s="2"/>
      <c r="B89" s="2"/>
      <c r="C89" s="76" t="s">
        <v>74</v>
      </c>
      <c r="D89" s="2"/>
      <c r="E89" s="2"/>
      <c r="F89" s="2"/>
      <c r="G89" s="214" t="s">
        <v>76</v>
      </c>
      <c r="H89" s="191"/>
      <c r="I89" s="191"/>
      <c r="J89" s="191"/>
      <c r="K89" s="192"/>
      <c r="L89" s="2"/>
      <c r="M89" s="2"/>
      <c r="N89" s="2"/>
      <c r="O89" s="2"/>
      <c r="P89" s="2"/>
      <c r="Q89" s="2"/>
      <c r="R89" s="2"/>
      <c r="S89" s="2"/>
      <c r="T89" s="2"/>
      <c r="U89" s="2"/>
      <c r="V89" s="2"/>
      <c r="W89" s="2"/>
      <c r="X89" s="2"/>
      <c r="Y89" s="2"/>
      <c r="Z89" s="2"/>
      <c r="AA89" s="2"/>
    </row>
    <row r="90" spans="1:27" ht="14">
      <c r="A90" s="2"/>
      <c r="D90" s="2"/>
      <c r="E90" s="2"/>
      <c r="F90" s="2"/>
      <c r="G90" s="215"/>
      <c r="H90" s="194"/>
      <c r="I90" s="194"/>
      <c r="J90" s="194"/>
      <c r="K90" s="216"/>
      <c r="L90" s="2"/>
      <c r="M90" s="2"/>
      <c r="N90" s="2"/>
      <c r="O90" s="2"/>
      <c r="P90" s="2"/>
      <c r="Q90" s="2"/>
      <c r="R90" s="2"/>
      <c r="S90" s="2"/>
      <c r="T90" s="2"/>
      <c r="U90" s="2"/>
      <c r="V90" s="2"/>
      <c r="W90" s="2"/>
      <c r="X90" s="2"/>
      <c r="Y90" s="2"/>
      <c r="Z90" s="2"/>
      <c r="AA90" s="2"/>
    </row>
    <row r="91" spans="1:27" ht="16">
      <c r="A91" s="2"/>
      <c r="C91" s="211" t="s">
        <v>75</v>
      </c>
      <c r="D91" s="212"/>
      <c r="E91" s="213"/>
      <c r="F91" s="2"/>
      <c r="G91" s="215"/>
      <c r="H91" s="194"/>
      <c r="I91" s="194"/>
      <c r="J91" s="194"/>
      <c r="K91" s="216"/>
      <c r="L91" s="2"/>
      <c r="M91" s="2"/>
      <c r="N91" s="2"/>
      <c r="O91" s="2"/>
      <c r="P91" s="2"/>
      <c r="Q91" s="2"/>
      <c r="R91" s="2"/>
      <c r="S91" s="2"/>
      <c r="T91" s="2"/>
      <c r="U91" s="2"/>
      <c r="V91" s="2"/>
      <c r="W91" s="2"/>
      <c r="X91" s="2"/>
      <c r="Y91" s="2"/>
      <c r="Z91" s="2"/>
      <c r="AA91" s="2"/>
    </row>
    <row r="92" spans="1:27" ht="15">
      <c r="A92" s="2"/>
      <c r="C92" s="206" t="s">
        <v>77</v>
      </c>
      <c r="D92" s="207"/>
      <c r="E92" s="208"/>
      <c r="F92" s="2"/>
      <c r="G92" s="215"/>
      <c r="H92" s="194"/>
      <c r="I92" s="194"/>
      <c r="J92" s="194"/>
      <c r="K92" s="216"/>
      <c r="L92" s="2"/>
      <c r="M92" s="2"/>
      <c r="N92" s="2"/>
      <c r="O92" s="2"/>
      <c r="P92" s="2"/>
      <c r="Q92" s="2"/>
      <c r="R92" s="2"/>
      <c r="S92" s="2"/>
      <c r="T92" s="2"/>
      <c r="U92" s="2"/>
      <c r="V92" s="2"/>
      <c r="W92" s="2"/>
      <c r="X92" s="2"/>
      <c r="Y92" s="2"/>
      <c r="Z92" s="2"/>
      <c r="AA92" s="2"/>
    </row>
    <row r="93" spans="1:27" ht="15">
      <c r="A93" s="2"/>
      <c r="C93" s="77" t="s">
        <v>78</v>
      </c>
      <c r="D93" s="203" t="s">
        <v>79</v>
      </c>
      <c r="E93" s="205"/>
      <c r="F93" s="2"/>
      <c r="G93" s="215"/>
      <c r="H93" s="194"/>
      <c r="I93" s="194"/>
      <c r="J93" s="194"/>
      <c r="K93" s="216"/>
      <c r="L93" s="2"/>
      <c r="M93" s="2"/>
      <c r="N93" s="2"/>
      <c r="O93" s="2"/>
      <c r="P93" s="2"/>
      <c r="Q93" s="2"/>
      <c r="R93" s="2"/>
      <c r="S93" s="2"/>
      <c r="T93" s="2"/>
      <c r="U93" s="2"/>
      <c r="V93" s="2"/>
      <c r="W93" s="2"/>
      <c r="X93" s="2"/>
      <c r="Y93" s="2"/>
      <c r="Z93" s="2"/>
      <c r="AA93" s="2"/>
    </row>
    <row r="94" spans="1:27" ht="16">
      <c r="A94" s="2"/>
      <c r="C94" s="78" t="str">
        <f>HYPERLINK("https://amzn.to/2UjEc4j","The Bogleheads' Guide to Investing")</f>
        <v>The Bogleheads' Guide to Investing</v>
      </c>
      <c r="D94" s="79" t="s">
        <v>80</v>
      </c>
      <c r="E94" s="80"/>
      <c r="F94" s="2"/>
      <c r="G94" s="217"/>
      <c r="H94" s="197"/>
      <c r="I94" s="197"/>
      <c r="J94" s="197"/>
      <c r="K94" s="198"/>
      <c r="L94" s="2"/>
      <c r="M94" s="2"/>
      <c r="N94" s="2"/>
      <c r="O94" s="2"/>
      <c r="P94" s="2"/>
      <c r="Q94" s="2"/>
      <c r="R94" s="2"/>
      <c r="S94" s="2"/>
      <c r="T94" s="2"/>
      <c r="U94" s="2"/>
      <c r="V94" s="2"/>
      <c r="W94" s="2"/>
      <c r="X94" s="2"/>
      <c r="Y94" s="2"/>
      <c r="Z94" s="2"/>
      <c r="AA94" s="2"/>
    </row>
    <row r="95" spans="1:27" ht="16">
      <c r="A95" s="2"/>
      <c r="C95" s="81" t="str">
        <f>HYPERLINK("https://amzn.to/2MKGokh","The Intelligent Investor")</f>
        <v>The Intelligent Investor</v>
      </c>
      <c r="D95" s="82" t="s">
        <v>81</v>
      </c>
      <c r="E95" s="83"/>
      <c r="F95" s="2"/>
      <c r="G95" s="2"/>
      <c r="H95" s="2"/>
      <c r="I95" s="2"/>
      <c r="J95" s="2"/>
      <c r="K95" s="2"/>
      <c r="L95" s="2"/>
      <c r="M95" s="2"/>
      <c r="N95" s="2"/>
      <c r="O95" s="2"/>
      <c r="P95" s="2"/>
      <c r="Q95" s="2"/>
      <c r="R95" s="2"/>
      <c r="S95" s="2"/>
      <c r="T95" s="2"/>
      <c r="U95" s="2"/>
      <c r="V95" s="2"/>
      <c r="W95" s="2"/>
      <c r="X95" s="2"/>
      <c r="Y95" s="2"/>
      <c r="Z95" s="2"/>
      <c r="AA95" s="2"/>
    </row>
    <row r="96" spans="1:27" ht="16">
      <c r="A96" s="2"/>
      <c r="C96" s="78" t="str">
        <f>HYPERLINK("https://amzn.to/2zIVI8p","A Random Walk Down Wall Street")</f>
        <v>A Random Walk Down Wall Street</v>
      </c>
      <c r="D96" s="79" t="s">
        <v>82</v>
      </c>
      <c r="E96" s="80"/>
      <c r="F96" s="2"/>
      <c r="G96" s="2"/>
      <c r="H96" s="2"/>
      <c r="I96" s="2"/>
      <c r="J96" s="2"/>
      <c r="K96" s="2"/>
      <c r="L96" s="2"/>
      <c r="M96" s="2"/>
      <c r="N96" s="2"/>
      <c r="O96" s="2"/>
      <c r="P96" s="2"/>
      <c r="Q96" s="2"/>
      <c r="R96" s="2"/>
      <c r="S96" s="2"/>
      <c r="T96" s="2"/>
      <c r="U96" s="2"/>
      <c r="V96" s="2"/>
      <c r="W96" s="2"/>
      <c r="X96" s="2"/>
      <c r="Y96" s="2"/>
      <c r="Z96" s="2"/>
      <c r="AA96" s="2"/>
    </row>
    <row r="97" spans="1:27" ht="15">
      <c r="A97" s="2"/>
      <c r="C97" s="203" t="s">
        <v>83</v>
      </c>
      <c r="D97" s="204"/>
      <c r="E97" s="205"/>
      <c r="F97" s="2"/>
      <c r="G97" s="2"/>
      <c r="H97" s="2"/>
      <c r="I97" s="2"/>
      <c r="J97" s="2"/>
      <c r="K97" s="2"/>
      <c r="L97" s="2"/>
      <c r="M97" s="2"/>
      <c r="N97" s="2"/>
      <c r="O97" s="2"/>
      <c r="P97" s="2"/>
      <c r="Q97" s="2"/>
      <c r="R97" s="2"/>
      <c r="S97" s="2"/>
      <c r="T97" s="2"/>
      <c r="U97" s="2"/>
      <c r="V97" s="2"/>
      <c r="W97" s="2"/>
      <c r="X97" s="2"/>
      <c r="Y97" s="2"/>
      <c r="Z97" s="2"/>
      <c r="AA97" s="2"/>
    </row>
    <row r="98" spans="1:27" ht="16">
      <c r="A98" s="2"/>
      <c r="C98" s="84" t="str">
        <f>HYPERLINK("https://amzn.to/2UkwgQ6","The Book on Rental Property Investing")</f>
        <v>The Book on Rental Property Investing</v>
      </c>
      <c r="D98" s="85" t="s">
        <v>84</v>
      </c>
      <c r="E98" s="80"/>
      <c r="F98" s="2"/>
      <c r="G98" s="2"/>
      <c r="H98" s="2"/>
      <c r="I98" s="2"/>
      <c r="J98" s="2"/>
      <c r="K98" s="2"/>
      <c r="L98" s="2"/>
      <c r="M98" s="2"/>
      <c r="N98" s="2"/>
      <c r="O98" s="2"/>
      <c r="P98" s="2"/>
      <c r="Q98" s="2"/>
      <c r="R98" s="2"/>
      <c r="S98" s="2"/>
      <c r="T98" s="2"/>
      <c r="U98" s="2"/>
      <c r="V98" s="2"/>
      <c r="W98" s="2"/>
      <c r="X98" s="2"/>
      <c r="Y98" s="2"/>
      <c r="Z98" s="2"/>
      <c r="AA98" s="2"/>
    </row>
    <row r="99" spans="1:27" ht="16">
      <c r="A99" s="2"/>
      <c r="C99" s="81" t="str">
        <f>HYPERLINK("https://amzn.to/2ZJQuDW","Building Wealth One House at a Time")</f>
        <v>Building Wealth One House at a Time</v>
      </c>
      <c r="D99" s="82" t="s">
        <v>85</v>
      </c>
      <c r="E99" s="83"/>
      <c r="F99" s="2"/>
      <c r="G99" s="2"/>
      <c r="H99" s="2"/>
      <c r="I99" s="2"/>
      <c r="J99" s="2"/>
      <c r="K99" s="2"/>
      <c r="L99" s="2"/>
      <c r="M99" s="2"/>
      <c r="N99" s="2"/>
      <c r="O99" s="2"/>
      <c r="P99" s="2"/>
      <c r="Q99" s="2"/>
      <c r="R99" s="2"/>
      <c r="S99" s="2"/>
      <c r="T99" s="2"/>
      <c r="U99" s="2"/>
      <c r="V99" s="2"/>
      <c r="W99" s="2"/>
      <c r="X99" s="2"/>
      <c r="Y99" s="2"/>
      <c r="Z99" s="2"/>
      <c r="AA99" s="2"/>
    </row>
    <row r="100" spans="1:27" ht="15">
      <c r="A100" s="2"/>
      <c r="C100" s="206" t="s">
        <v>86</v>
      </c>
      <c r="D100" s="207"/>
      <c r="E100" s="208"/>
      <c r="F100" s="2"/>
      <c r="G100" s="2"/>
      <c r="H100" s="2"/>
      <c r="I100" s="2"/>
      <c r="J100" s="2"/>
      <c r="K100" s="2"/>
      <c r="L100" s="2"/>
      <c r="M100" s="2"/>
      <c r="N100" s="2"/>
      <c r="O100" s="2"/>
      <c r="P100" s="2"/>
      <c r="Q100" s="2"/>
      <c r="R100" s="2"/>
      <c r="S100" s="2"/>
      <c r="T100" s="2"/>
      <c r="U100" s="2"/>
      <c r="V100" s="2"/>
      <c r="W100" s="2"/>
      <c r="X100" s="2"/>
      <c r="Y100" s="2"/>
      <c r="Z100" s="2"/>
      <c r="AA100" s="2"/>
    </row>
    <row r="101" spans="1:27" ht="16">
      <c r="A101" s="2"/>
      <c r="C101" s="86" t="str">
        <f>HYPERLINK("https://amzn.to/2ZD29IK","Rich Dad Poor Dad")</f>
        <v>Rich Dad Poor Dad</v>
      </c>
      <c r="D101" s="87" t="s">
        <v>87</v>
      </c>
      <c r="E101" s="83"/>
      <c r="F101" s="2"/>
      <c r="G101" s="2"/>
      <c r="H101" s="2"/>
      <c r="I101" s="2"/>
      <c r="J101" s="2"/>
      <c r="K101" s="2"/>
      <c r="L101" s="2"/>
      <c r="M101" s="2"/>
      <c r="N101" s="2"/>
      <c r="O101" s="2"/>
      <c r="P101" s="2"/>
      <c r="Q101" s="2"/>
      <c r="R101" s="2"/>
      <c r="S101" s="2"/>
      <c r="T101" s="2"/>
      <c r="U101" s="2"/>
      <c r="V101" s="2"/>
      <c r="W101" s="2"/>
      <c r="X101" s="2"/>
      <c r="Y101" s="2"/>
      <c r="Z101" s="2"/>
      <c r="AA101" s="2"/>
    </row>
    <row r="102" spans="1:27" ht="15">
      <c r="A102" s="2"/>
      <c r="B102" s="2"/>
      <c r="C102" s="206" t="s">
        <v>88</v>
      </c>
      <c r="D102" s="207"/>
      <c r="E102" s="208"/>
      <c r="F102" s="2"/>
      <c r="G102" s="2"/>
      <c r="H102" s="2"/>
      <c r="I102" s="2"/>
      <c r="J102" s="2"/>
      <c r="K102" s="2"/>
      <c r="L102" s="2"/>
      <c r="M102" s="2"/>
      <c r="N102" s="2"/>
      <c r="O102" s="2"/>
      <c r="P102" s="2"/>
      <c r="Q102" s="2"/>
      <c r="R102" s="2"/>
      <c r="S102" s="2"/>
      <c r="T102" s="2"/>
      <c r="U102" s="2"/>
      <c r="V102" s="2"/>
      <c r="W102" s="2"/>
      <c r="X102" s="2"/>
      <c r="Y102" s="2"/>
      <c r="Z102" s="2"/>
      <c r="AA102" s="2"/>
    </row>
    <row r="103" spans="1:27" ht="16">
      <c r="A103" s="2"/>
      <c r="B103" s="2"/>
      <c r="C103" s="81" t="str">
        <f>HYPERLINK("https://amzn.to/2Lc0thn","The Total Money Makeover")</f>
        <v>The Total Money Makeover</v>
      </c>
      <c r="D103" s="82" t="s">
        <v>89</v>
      </c>
      <c r="E103" s="83"/>
      <c r="F103" s="2"/>
      <c r="G103" s="2"/>
      <c r="H103" s="2"/>
      <c r="I103" s="2"/>
      <c r="J103" s="2"/>
      <c r="K103" s="2"/>
      <c r="L103" s="2"/>
      <c r="M103" s="2"/>
      <c r="N103" s="2"/>
      <c r="O103" s="2"/>
      <c r="P103" s="2"/>
      <c r="Q103" s="2"/>
      <c r="R103" s="2"/>
      <c r="S103" s="2"/>
      <c r="T103" s="2"/>
      <c r="U103" s="2"/>
      <c r="V103" s="2"/>
      <c r="W103" s="2"/>
      <c r="X103" s="2"/>
      <c r="Y103" s="2"/>
      <c r="Z103" s="2"/>
      <c r="AA103" s="2"/>
    </row>
    <row r="104" spans="1:27" ht="15">
      <c r="A104" s="2"/>
      <c r="B104" s="2"/>
      <c r="C104" s="206" t="s">
        <v>90</v>
      </c>
      <c r="D104" s="207"/>
      <c r="E104" s="208"/>
      <c r="F104" s="2"/>
      <c r="G104" s="2"/>
      <c r="H104" s="2"/>
      <c r="I104" s="2"/>
      <c r="J104" s="2"/>
      <c r="K104" s="2"/>
      <c r="L104" s="2"/>
      <c r="M104" s="2"/>
      <c r="N104" s="2"/>
      <c r="O104" s="2"/>
      <c r="P104" s="2"/>
      <c r="Q104" s="2"/>
      <c r="R104" s="2"/>
      <c r="S104" s="2"/>
      <c r="T104" s="2"/>
      <c r="U104" s="2"/>
      <c r="V104" s="2"/>
      <c r="W104" s="2"/>
      <c r="X104" s="2"/>
      <c r="Y104" s="2"/>
      <c r="Z104" s="2"/>
      <c r="AA104" s="2"/>
    </row>
    <row r="105" spans="1:27" ht="16">
      <c r="A105" s="2"/>
      <c r="B105" s="2"/>
      <c r="C105" s="81" t="str">
        <f>HYPERLINK("https://amzn.to/2UnBpqK","The $100 Startup")</f>
        <v>The $100 Startup</v>
      </c>
      <c r="D105" s="82" t="s">
        <v>91</v>
      </c>
      <c r="E105" s="83"/>
      <c r="F105" s="2"/>
      <c r="G105" s="2"/>
      <c r="H105" s="2"/>
      <c r="I105" s="2"/>
      <c r="J105" s="2"/>
      <c r="K105" s="2"/>
      <c r="L105" s="2"/>
      <c r="M105" s="2"/>
      <c r="N105" s="2"/>
      <c r="O105" s="2"/>
      <c r="P105" s="2"/>
      <c r="Q105" s="2"/>
      <c r="R105" s="2"/>
      <c r="S105" s="2"/>
      <c r="T105" s="2"/>
      <c r="U105" s="2"/>
      <c r="V105" s="2"/>
      <c r="W105" s="2"/>
      <c r="X105" s="2"/>
      <c r="Y105" s="2"/>
      <c r="Z105" s="2"/>
      <c r="AA105" s="2"/>
    </row>
    <row r="106" spans="1:27" ht="15">
      <c r="A106" s="2"/>
      <c r="B106" s="2"/>
      <c r="C106" s="206" t="s">
        <v>92</v>
      </c>
      <c r="D106" s="207"/>
      <c r="E106" s="208"/>
      <c r="F106" s="2"/>
      <c r="G106" s="2"/>
      <c r="H106" s="2"/>
      <c r="I106" s="2"/>
      <c r="J106" s="2"/>
      <c r="K106" s="2"/>
      <c r="L106" s="2"/>
      <c r="M106" s="2"/>
      <c r="N106" s="2"/>
      <c r="O106" s="2"/>
      <c r="P106" s="2"/>
      <c r="Q106" s="2"/>
      <c r="R106" s="2"/>
      <c r="S106" s="2"/>
      <c r="T106" s="2"/>
      <c r="U106" s="2"/>
      <c r="V106" s="2"/>
      <c r="W106" s="2"/>
      <c r="X106" s="2"/>
      <c r="Y106" s="2"/>
      <c r="Z106" s="2"/>
      <c r="AA106" s="2"/>
    </row>
    <row r="107" spans="1:27" ht="15">
      <c r="A107" s="2"/>
      <c r="B107" s="2"/>
      <c r="C107" s="86" t="str">
        <f>HYPERLINK("https://amzn.to/2HCnDeJ","Freakonomics")</f>
        <v>Freakonomics</v>
      </c>
      <c r="D107" s="87" t="s">
        <v>93</v>
      </c>
      <c r="E107" s="88"/>
      <c r="F107" s="2"/>
      <c r="G107" s="2"/>
      <c r="H107" s="2"/>
      <c r="I107" s="2"/>
      <c r="J107" s="2"/>
      <c r="K107" s="2"/>
      <c r="L107" s="2"/>
      <c r="M107" s="2"/>
      <c r="N107" s="2"/>
      <c r="O107" s="2"/>
      <c r="P107" s="2"/>
      <c r="Q107" s="2"/>
      <c r="R107" s="2"/>
      <c r="S107" s="2"/>
      <c r="T107" s="2"/>
      <c r="U107" s="2"/>
      <c r="V107" s="2"/>
      <c r="W107" s="2"/>
      <c r="X107" s="2"/>
      <c r="Y107" s="2"/>
      <c r="Z107" s="2"/>
      <c r="AA107" s="2"/>
    </row>
    <row r="108" spans="1:27" ht="1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ht="14">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ht="14">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spans="1:27" ht="14">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spans="1:27" ht="14">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spans="1:27" ht="14">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spans="1:27" ht="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spans="1:27" ht="14">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spans="1:27" ht="14">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spans="1:27" ht="14">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spans="1:27" ht="14">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spans="1:27" ht="14">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spans="1:27" ht="14">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spans="1:27" ht="14">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spans="1:27" ht="14">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spans="1:27" ht="14">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spans="1:27" ht="1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spans="1:27" ht="14">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spans="1:27" ht="14">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spans="1:27" ht="14">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spans="1:27" ht="14">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spans="1:27" ht="14">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spans="1:27" ht="14">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spans="1:27" ht="14">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spans="1:27" ht="14">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spans="1:27" ht="14">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spans="1:27" ht="1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spans="1:27" ht="14">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spans="1:27" ht="14">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spans="1:27" ht="14">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spans="1:27" ht="14">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spans="1:27" ht="14">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spans="1:27" ht="14">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spans="1:27" ht="14">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spans="1:27" ht="14">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spans="1:27" ht="14">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spans="1:27" ht="15.75" customHeight="1">
      <c r="C1044" s="2"/>
      <c r="D1044" s="2"/>
      <c r="E1044" s="2"/>
    </row>
    <row r="1045" spans="1:27" ht="15.75" customHeight="1">
      <c r="C1045" s="2"/>
      <c r="D1045" s="2"/>
      <c r="E1045" s="2"/>
    </row>
  </sheetData>
  <mergeCells count="18">
    <mergeCell ref="C104:E104"/>
    <mergeCell ref="C106:E106"/>
    <mergeCell ref="J23:M23"/>
    <mergeCell ref="H39:M39"/>
    <mergeCell ref="C91:E91"/>
    <mergeCell ref="G89:K94"/>
    <mergeCell ref="C92:E92"/>
    <mergeCell ref="D93:E93"/>
    <mergeCell ref="C12:E12"/>
    <mergeCell ref="H21:L21"/>
    <mergeCell ref="C97:E97"/>
    <mergeCell ref="C100:E100"/>
    <mergeCell ref="C102:E102"/>
    <mergeCell ref="B2:F2"/>
    <mergeCell ref="H2:I2"/>
    <mergeCell ref="J2:P3"/>
    <mergeCell ref="B3:F3"/>
    <mergeCell ref="C4:E4"/>
  </mergeCells>
  <hyperlinks>
    <hyperlink ref="D94" r:id="rId1" xr:uid="{00000000-0004-0000-0000-000000000000}"/>
    <hyperlink ref="D95" r:id="rId2" xr:uid="{00000000-0004-0000-0000-000001000000}"/>
    <hyperlink ref="D96" r:id="rId3" xr:uid="{00000000-0004-0000-0000-000002000000}"/>
    <hyperlink ref="D98" r:id="rId4" xr:uid="{00000000-0004-0000-0000-000003000000}"/>
    <hyperlink ref="D99" r:id="rId5" xr:uid="{00000000-0004-0000-0000-000004000000}"/>
    <hyperlink ref="D101" r:id="rId6" xr:uid="{00000000-0004-0000-0000-000005000000}"/>
    <hyperlink ref="D103" r:id="rId7" xr:uid="{00000000-0004-0000-0000-000006000000}"/>
    <hyperlink ref="D105" r:id="rId8" xr:uid="{00000000-0004-0000-0000-000007000000}"/>
    <hyperlink ref="D107" r:id="rId9" xr:uid="{00000000-0004-0000-0000-000008000000}"/>
  </hyperlinks>
  <printOptions horizontalCentered="1" gridLines="1"/>
  <pageMargins left="0.7" right="0.7" top="0.75" bottom="0.75" header="0" footer="0"/>
  <pageSetup fitToHeight="0" pageOrder="overThenDown" orientation="landscape" cellComments="atEnd"/>
  <drawing r:id="rId10"/>
  <tableParts count="9">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E623-2753-9E44-BFA8-7D8D7F75E39B}">
  <dimension ref="D7:P44"/>
  <sheetViews>
    <sheetView tabSelected="1" topLeftCell="I19" workbookViewId="0">
      <selection activeCell="L47" sqref="L47"/>
    </sheetView>
  </sheetViews>
  <sheetFormatPr baseColWidth="10" defaultRowHeight="13"/>
  <cols>
    <col min="4" max="4" width="24" bestFit="1" customWidth="1"/>
    <col min="5" max="5" width="30.83203125" bestFit="1" customWidth="1"/>
    <col min="6" max="6" width="40.1640625" bestFit="1" customWidth="1"/>
    <col min="7" max="7" width="22" style="136" bestFit="1" customWidth="1"/>
    <col min="8" max="8" width="22" style="136" customWidth="1"/>
    <col min="11" max="11" width="21.83203125" bestFit="1" customWidth="1"/>
    <col min="12" max="12" width="31.5" bestFit="1" customWidth="1"/>
    <col min="13" max="13" width="40.1640625" bestFit="1" customWidth="1"/>
    <col min="14" max="14" width="20.33203125" customWidth="1"/>
    <col min="16" max="16" width="21.33203125" customWidth="1"/>
  </cols>
  <sheetData>
    <row r="7" spans="4:14" ht="20">
      <c r="D7" s="131" t="s">
        <v>104</v>
      </c>
      <c r="E7" s="132" t="s">
        <v>227</v>
      </c>
      <c r="F7" s="178" t="s">
        <v>232</v>
      </c>
      <c r="G7" s="135" t="s">
        <v>165</v>
      </c>
      <c r="H7" s="155"/>
      <c r="K7" s="123" t="s">
        <v>142</v>
      </c>
      <c r="L7" s="132" t="s">
        <v>227</v>
      </c>
    </row>
    <row r="8" spans="4:14">
      <c r="D8" s="130"/>
      <c r="E8" s="130"/>
      <c r="F8" s="130"/>
      <c r="G8" s="137"/>
      <c r="H8" s="156"/>
    </row>
    <row r="9" spans="4:14" ht="14" thickBot="1">
      <c r="D9" s="130"/>
      <c r="E9" s="130"/>
      <c r="F9" s="130"/>
      <c r="G9" s="137"/>
      <c r="H9" s="156"/>
    </row>
    <row r="10" spans="4:14" ht="21">
      <c r="D10" s="142" t="s">
        <v>129</v>
      </c>
      <c r="E10" s="143" t="s">
        <v>105</v>
      </c>
      <c r="F10" s="143" t="s">
        <v>106</v>
      </c>
      <c r="G10" s="144"/>
      <c r="H10" s="157"/>
      <c r="K10" s="145" t="s">
        <v>129</v>
      </c>
      <c r="L10" s="146" t="s">
        <v>105</v>
      </c>
      <c r="M10" s="146" t="s">
        <v>106</v>
      </c>
      <c r="N10" s="147" t="s">
        <v>107</v>
      </c>
    </row>
    <row r="11" spans="4:14" ht="21">
      <c r="D11" s="129" t="s">
        <v>183</v>
      </c>
      <c r="E11" s="134" t="s">
        <v>108</v>
      </c>
      <c r="F11" s="134" t="s">
        <v>109</v>
      </c>
      <c r="G11" s="137"/>
      <c r="H11" s="156"/>
      <c r="K11" s="125" t="s">
        <v>183</v>
      </c>
      <c r="L11" s="148" t="s">
        <v>108</v>
      </c>
      <c r="M11" s="148" t="s">
        <v>143</v>
      </c>
      <c r="N11" s="149">
        <v>-7500000</v>
      </c>
    </row>
    <row r="12" spans="4:14" ht="21">
      <c r="D12" s="129" t="s">
        <v>183</v>
      </c>
      <c r="E12" s="134" t="s">
        <v>108</v>
      </c>
      <c r="F12" s="134" t="s">
        <v>110</v>
      </c>
      <c r="G12" s="137"/>
      <c r="H12" s="156"/>
      <c r="K12" s="125" t="s">
        <v>183</v>
      </c>
      <c r="L12" s="148" t="s">
        <v>108</v>
      </c>
      <c r="M12" s="148" t="s">
        <v>223</v>
      </c>
      <c r="N12" s="150">
        <v>30000000</v>
      </c>
    </row>
    <row r="13" spans="4:14" ht="21">
      <c r="D13" s="129" t="s">
        <v>184</v>
      </c>
      <c r="E13" s="134" t="s">
        <v>111</v>
      </c>
      <c r="F13" s="134" t="s">
        <v>112</v>
      </c>
      <c r="G13" s="186">
        <v>242200</v>
      </c>
      <c r="H13" s="158" t="s">
        <v>228</v>
      </c>
      <c r="K13" s="125" t="s">
        <v>183</v>
      </c>
      <c r="L13" s="148" t="s">
        <v>108</v>
      </c>
      <c r="M13" s="148" t="s">
        <v>144</v>
      </c>
      <c r="N13" s="149">
        <v>2500000</v>
      </c>
    </row>
    <row r="14" spans="4:14" ht="21">
      <c r="D14" s="129" t="s">
        <v>190</v>
      </c>
      <c r="E14" s="134" t="s">
        <v>113</v>
      </c>
      <c r="F14" s="134" t="s">
        <v>218</v>
      </c>
      <c r="G14" s="139">
        <v>67575</v>
      </c>
      <c r="H14" s="159" t="s">
        <v>229</v>
      </c>
      <c r="K14" s="125" t="s">
        <v>183</v>
      </c>
      <c r="L14" s="148" t="s">
        <v>108</v>
      </c>
      <c r="M14" s="148" t="s">
        <v>145</v>
      </c>
      <c r="N14" s="150">
        <v>18000000</v>
      </c>
    </row>
    <row r="15" spans="4:14" ht="21">
      <c r="D15" s="129" t="s">
        <v>190</v>
      </c>
      <c r="E15" s="134" t="s">
        <v>113</v>
      </c>
      <c r="F15" s="134" t="s">
        <v>115</v>
      </c>
      <c r="G15" s="138">
        <v>34000</v>
      </c>
      <c r="H15" s="158">
        <v>30000</v>
      </c>
      <c r="K15" s="125" t="s">
        <v>183</v>
      </c>
      <c r="L15" s="148" t="s">
        <v>108</v>
      </c>
      <c r="M15" s="148" t="s">
        <v>147</v>
      </c>
      <c r="N15" s="149">
        <v>15000000</v>
      </c>
    </row>
    <row r="16" spans="4:14" ht="21">
      <c r="D16" s="129" t="s">
        <v>184</v>
      </c>
      <c r="E16" s="134" t="s">
        <v>113</v>
      </c>
      <c r="F16" s="134" t="s">
        <v>182</v>
      </c>
      <c r="G16" s="139"/>
      <c r="H16" s="159"/>
      <c r="K16" s="125" t="s">
        <v>183</v>
      </c>
      <c r="L16" s="148" t="s">
        <v>108</v>
      </c>
      <c r="M16" s="148" t="s">
        <v>148</v>
      </c>
      <c r="N16" s="150">
        <v>4000000</v>
      </c>
    </row>
    <row r="17" spans="4:14" ht="21">
      <c r="D17" s="129" t="s">
        <v>184</v>
      </c>
      <c r="E17" s="134" t="s">
        <v>113</v>
      </c>
      <c r="F17" s="134" t="s">
        <v>164</v>
      </c>
      <c r="G17" s="138">
        <v>480</v>
      </c>
      <c r="H17" s="158" t="s">
        <v>226</v>
      </c>
      <c r="K17" s="125" t="s">
        <v>184</v>
      </c>
      <c r="L17" s="148" t="s">
        <v>113</v>
      </c>
      <c r="M17" s="148" t="s">
        <v>114</v>
      </c>
      <c r="N17" s="149">
        <v>500000</v>
      </c>
    </row>
    <row r="18" spans="4:14" ht="21">
      <c r="D18" s="129" t="s">
        <v>190</v>
      </c>
      <c r="E18" s="134" t="s">
        <v>113</v>
      </c>
      <c r="F18" s="134" t="s">
        <v>186</v>
      </c>
      <c r="G18" s="139">
        <v>46156</v>
      </c>
      <c r="H18" s="159">
        <v>45000</v>
      </c>
      <c r="K18" s="125" t="s">
        <v>184</v>
      </c>
      <c r="L18" s="148" t="s">
        <v>113</v>
      </c>
      <c r="M18" s="148" t="s">
        <v>116</v>
      </c>
      <c r="N18" s="150"/>
    </row>
    <row r="19" spans="4:14" ht="21">
      <c r="D19" s="129" t="s">
        <v>184</v>
      </c>
      <c r="E19" s="134" t="s">
        <v>113</v>
      </c>
      <c r="F19" s="134" t="s">
        <v>117</v>
      </c>
      <c r="G19" s="138"/>
      <c r="H19" s="158"/>
      <c r="K19" s="125" t="s">
        <v>184</v>
      </c>
      <c r="L19" s="148" t="s">
        <v>118</v>
      </c>
      <c r="M19" s="148" t="s">
        <v>120</v>
      </c>
      <c r="N19" s="149"/>
    </row>
    <row r="20" spans="4:14" ht="21">
      <c r="D20" s="129" t="s">
        <v>184</v>
      </c>
      <c r="E20" s="134" t="s">
        <v>118</v>
      </c>
      <c r="F20" s="134" t="s">
        <v>119</v>
      </c>
      <c r="G20" s="139"/>
      <c r="H20" s="159"/>
      <c r="K20" s="125" t="s">
        <v>184</v>
      </c>
      <c r="L20" s="148" t="s">
        <v>113</v>
      </c>
      <c r="M20" s="148" t="s">
        <v>110</v>
      </c>
      <c r="N20" s="150"/>
    </row>
    <row r="21" spans="4:14" ht="21">
      <c r="D21" s="129" t="s">
        <v>184</v>
      </c>
      <c r="E21" s="134" t="s">
        <v>118</v>
      </c>
      <c r="F21" s="134" t="s">
        <v>120</v>
      </c>
      <c r="G21" s="138"/>
      <c r="H21" s="158"/>
      <c r="K21" s="125" t="s">
        <v>184</v>
      </c>
      <c r="L21" s="148" t="s">
        <v>121</v>
      </c>
      <c r="M21" s="148" t="s">
        <v>122</v>
      </c>
      <c r="N21" s="149"/>
    </row>
    <row r="22" spans="4:14" ht="21">
      <c r="D22" s="129" t="s">
        <v>184</v>
      </c>
      <c r="E22" s="134" t="s">
        <v>113</v>
      </c>
      <c r="F22" s="134" t="s">
        <v>110</v>
      </c>
      <c r="G22" s="139"/>
      <c r="H22" s="159"/>
      <c r="K22" s="125" t="s">
        <v>184</v>
      </c>
      <c r="L22" s="148" t="s">
        <v>121</v>
      </c>
      <c r="M22" s="148" t="s">
        <v>185</v>
      </c>
      <c r="N22" s="150">
        <v>500000</v>
      </c>
    </row>
    <row r="23" spans="4:14" ht="21">
      <c r="D23" s="129" t="s">
        <v>190</v>
      </c>
      <c r="E23" s="134" t="s">
        <v>121</v>
      </c>
      <c r="F23" s="134" t="s">
        <v>122</v>
      </c>
      <c r="G23" s="138">
        <v>10000</v>
      </c>
      <c r="H23" s="158"/>
      <c r="K23" s="125" t="s">
        <v>184</v>
      </c>
      <c r="L23" s="148" t="s">
        <v>121</v>
      </c>
      <c r="M23" s="148" t="s">
        <v>162</v>
      </c>
      <c r="N23" s="151">
        <v>1100000</v>
      </c>
    </row>
    <row r="24" spans="4:14" ht="21">
      <c r="D24" s="129" t="s">
        <v>184</v>
      </c>
      <c r="F24" s="134" t="s">
        <v>121</v>
      </c>
      <c r="G24" s="139"/>
      <c r="H24" s="159"/>
      <c r="K24" s="125" t="s">
        <v>184</v>
      </c>
      <c r="L24" s="148" t="s">
        <v>108</v>
      </c>
      <c r="M24" s="148" t="s">
        <v>123</v>
      </c>
      <c r="N24" s="150"/>
    </row>
    <row r="25" spans="4:14" ht="21">
      <c r="D25" s="129" t="s">
        <v>184</v>
      </c>
      <c r="E25" s="134" t="s">
        <v>121</v>
      </c>
      <c r="F25" s="134" t="s">
        <v>110</v>
      </c>
      <c r="G25" s="138"/>
      <c r="H25" s="158"/>
      <c r="K25" s="125" t="s">
        <v>184</v>
      </c>
      <c r="L25" s="148" t="s">
        <v>108</v>
      </c>
      <c r="M25" s="148" t="s">
        <v>124</v>
      </c>
      <c r="N25" s="149"/>
    </row>
    <row r="26" spans="4:14" ht="21">
      <c r="D26" s="129" t="s">
        <v>184</v>
      </c>
      <c r="E26" s="134" t="s">
        <v>108</v>
      </c>
      <c r="F26" s="134" t="s">
        <v>123</v>
      </c>
      <c r="G26" s="139">
        <v>10000</v>
      </c>
      <c r="H26" s="159"/>
      <c r="K26" s="125" t="s">
        <v>184</v>
      </c>
      <c r="L26" s="148" t="s">
        <v>108</v>
      </c>
      <c r="M26" s="148" t="s">
        <v>125</v>
      </c>
      <c r="N26" s="150"/>
    </row>
    <row r="27" spans="4:14" ht="21">
      <c r="D27" s="129" t="s">
        <v>184</v>
      </c>
      <c r="E27" s="134" t="s">
        <v>108</v>
      </c>
      <c r="F27" s="134" t="s">
        <v>124</v>
      </c>
      <c r="G27" s="138"/>
      <c r="H27" s="158"/>
      <c r="K27" s="125" t="s">
        <v>184</v>
      </c>
      <c r="L27" s="148" t="s">
        <v>108</v>
      </c>
      <c r="M27" s="148" t="s">
        <v>126</v>
      </c>
      <c r="N27" s="149"/>
    </row>
    <row r="28" spans="4:14" ht="21">
      <c r="D28" s="129" t="s">
        <v>184</v>
      </c>
      <c r="E28" s="134" t="s">
        <v>108</v>
      </c>
      <c r="F28" s="134" t="s">
        <v>125</v>
      </c>
      <c r="G28" s="139">
        <v>0</v>
      </c>
      <c r="H28" s="159"/>
      <c r="K28" s="125" t="s">
        <v>184</v>
      </c>
      <c r="L28" s="148" t="s">
        <v>108</v>
      </c>
      <c r="M28" s="148" t="s">
        <v>146</v>
      </c>
      <c r="N28" s="150"/>
    </row>
    <row r="29" spans="4:14" ht="21">
      <c r="D29" s="129" t="s">
        <v>184</v>
      </c>
      <c r="E29" s="134" t="s">
        <v>108</v>
      </c>
      <c r="F29" s="134" t="s">
        <v>126</v>
      </c>
      <c r="G29" s="138"/>
      <c r="H29" s="158"/>
      <c r="K29" s="125" t="s">
        <v>184</v>
      </c>
      <c r="L29" s="148" t="s">
        <v>108</v>
      </c>
      <c r="M29" s="148" t="s">
        <v>128</v>
      </c>
      <c r="N29" s="149"/>
    </row>
    <row r="30" spans="4:14" ht="21">
      <c r="D30" s="129" t="s">
        <v>184</v>
      </c>
      <c r="E30" s="134" t="s">
        <v>108</v>
      </c>
      <c r="F30" s="134" t="s">
        <v>127</v>
      </c>
      <c r="G30" s="139"/>
      <c r="H30" s="159"/>
      <c r="K30" s="125" t="s">
        <v>140</v>
      </c>
      <c r="L30" s="148" t="s">
        <v>130</v>
      </c>
      <c r="M30" s="148"/>
      <c r="N30" s="150"/>
    </row>
    <row r="31" spans="4:14" ht="21">
      <c r="D31" s="129" t="s">
        <v>184</v>
      </c>
      <c r="E31" s="134" t="s">
        <v>108</v>
      </c>
      <c r="F31" s="134" t="s">
        <v>128</v>
      </c>
      <c r="G31" s="138"/>
      <c r="H31" s="158"/>
      <c r="K31" s="125" t="s">
        <v>140</v>
      </c>
      <c r="L31" s="148" t="s">
        <v>131</v>
      </c>
      <c r="M31" s="124" t="s">
        <v>146</v>
      </c>
      <c r="N31" s="149">
        <v>-2250000</v>
      </c>
    </row>
    <row r="32" spans="4:14" ht="21">
      <c r="D32" s="129" t="s">
        <v>140</v>
      </c>
      <c r="E32" s="134" t="s">
        <v>130</v>
      </c>
      <c r="F32" s="134"/>
      <c r="G32" s="139"/>
      <c r="H32" s="159"/>
      <c r="K32" s="125" t="s">
        <v>140</v>
      </c>
      <c r="L32" s="148" t="s">
        <v>132</v>
      </c>
      <c r="M32" s="148"/>
      <c r="N32" s="150"/>
    </row>
    <row r="33" spans="4:16" ht="21">
      <c r="D33" s="129" t="s">
        <v>140</v>
      </c>
      <c r="E33" s="134" t="s">
        <v>131</v>
      </c>
      <c r="F33" s="134"/>
      <c r="G33" s="138"/>
      <c r="H33" s="158"/>
      <c r="K33" s="125" t="s">
        <v>140</v>
      </c>
      <c r="L33" s="148" t="s">
        <v>133</v>
      </c>
      <c r="M33" s="148"/>
      <c r="N33" s="149"/>
    </row>
    <row r="34" spans="4:16" ht="21">
      <c r="D34" s="129" t="s">
        <v>140</v>
      </c>
      <c r="E34" s="134" t="s">
        <v>132</v>
      </c>
      <c r="F34" s="134"/>
      <c r="G34" s="139"/>
      <c r="H34" s="159"/>
      <c r="K34" s="125" t="s">
        <v>140</v>
      </c>
      <c r="L34" s="148" t="s">
        <v>134</v>
      </c>
      <c r="M34" s="148"/>
      <c r="N34" s="150"/>
    </row>
    <row r="35" spans="4:16" ht="21">
      <c r="D35" s="129" t="s">
        <v>140</v>
      </c>
      <c r="E35" s="134" t="s">
        <v>133</v>
      </c>
      <c r="F35" s="134"/>
      <c r="G35" s="138"/>
      <c r="H35" s="158"/>
      <c r="K35" s="125" t="s">
        <v>140</v>
      </c>
      <c r="L35" s="148" t="s">
        <v>135</v>
      </c>
      <c r="M35" s="148"/>
      <c r="N35" s="149"/>
    </row>
    <row r="36" spans="4:16" ht="21">
      <c r="D36" s="129" t="s">
        <v>140</v>
      </c>
      <c r="E36" s="134" t="s">
        <v>134</v>
      </c>
      <c r="F36" s="134"/>
      <c r="G36" s="139"/>
      <c r="H36" s="159"/>
      <c r="K36" s="125" t="s">
        <v>140</v>
      </c>
      <c r="L36" s="148" t="s">
        <v>136</v>
      </c>
      <c r="M36" s="148"/>
      <c r="N36" s="150"/>
    </row>
    <row r="37" spans="4:16" ht="21">
      <c r="D37" s="129" t="s">
        <v>140</v>
      </c>
      <c r="E37" s="134" t="s">
        <v>135</v>
      </c>
      <c r="F37" s="134"/>
      <c r="G37" s="138"/>
      <c r="H37" s="158"/>
      <c r="K37" s="125" t="s">
        <v>140</v>
      </c>
      <c r="L37" s="148" t="s">
        <v>137</v>
      </c>
      <c r="M37" s="148"/>
      <c r="N37" s="149"/>
    </row>
    <row r="38" spans="4:16" ht="21">
      <c r="D38" s="129" t="s">
        <v>140</v>
      </c>
      <c r="E38" s="134" t="s">
        <v>149</v>
      </c>
      <c r="F38" s="134"/>
      <c r="G38" s="139"/>
      <c r="H38" s="159"/>
      <c r="K38" s="125" t="s">
        <v>140</v>
      </c>
      <c r="L38" s="148" t="s">
        <v>138</v>
      </c>
      <c r="M38" s="148"/>
      <c r="N38" s="150"/>
    </row>
    <row r="39" spans="4:16" ht="21">
      <c r="D39" s="129" t="s">
        <v>140</v>
      </c>
      <c r="E39" s="134" t="s">
        <v>137</v>
      </c>
      <c r="F39" s="134"/>
      <c r="G39" s="138"/>
      <c r="H39" s="158"/>
      <c r="K39" s="125" t="s">
        <v>140</v>
      </c>
      <c r="L39" s="148" t="s">
        <v>139</v>
      </c>
      <c r="M39" s="148"/>
      <c r="N39" s="149"/>
    </row>
    <row r="40" spans="4:16" ht="21">
      <c r="D40" s="129" t="s">
        <v>140</v>
      </c>
      <c r="E40" s="134" t="s">
        <v>138</v>
      </c>
      <c r="F40" s="134"/>
      <c r="G40" s="139"/>
      <c r="H40" s="159"/>
      <c r="K40" s="125"/>
      <c r="L40" s="124"/>
      <c r="M40" s="148"/>
      <c r="N40" s="150"/>
    </row>
    <row r="41" spans="4:16" ht="21">
      <c r="D41" s="129" t="s">
        <v>140</v>
      </c>
      <c r="E41" s="134" t="s">
        <v>139</v>
      </c>
      <c r="F41" s="134"/>
      <c r="G41" s="138"/>
      <c r="H41" s="158"/>
      <c r="K41" s="125"/>
      <c r="L41" s="124"/>
      <c r="M41" s="148"/>
      <c r="N41" s="152"/>
    </row>
    <row r="42" spans="4:16" ht="21">
      <c r="D42" s="129"/>
      <c r="E42" s="133"/>
      <c r="F42" s="133"/>
      <c r="G42" s="139"/>
      <c r="H42" s="159"/>
      <c r="K42" s="126"/>
      <c r="L42" s="121"/>
      <c r="M42" s="121"/>
      <c r="N42" s="150"/>
    </row>
    <row r="43" spans="4:16" ht="21">
      <c r="D43" s="131" t="s">
        <v>141</v>
      </c>
      <c r="E43" s="133"/>
      <c r="F43" s="133"/>
      <c r="G43" s="140">
        <v>410411</v>
      </c>
      <c r="H43" s="187"/>
      <c r="K43" s="125"/>
      <c r="L43" s="148"/>
      <c r="M43" s="148"/>
      <c r="N43" s="149"/>
    </row>
    <row r="44" spans="4:16" ht="22" thickBot="1">
      <c r="D44" s="129"/>
      <c r="E44" s="133"/>
      <c r="F44" s="133" t="s">
        <v>156</v>
      </c>
      <c r="G44" s="141">
        <v>36116168</v>
      </c>
      <c r="K44" s="127" t="s">
        <v>141</v>
      </c>
      <c r="L44" s="122"/>
      <c r="M44" s="122"/>
      <c r="N44" s="153">
        <v>61850000</v>
      </c>
      <c r="P44" s="184">
        <v>97966168</v>
      </c>
    </row>
  </sheetData>
  <dataValidations count="1">
    <dataValidation type="list" allowBlank="1" showInputMessage="1" showErrorMessage="1" sqref="L11:L29 F24 E11:E23 E25:E31" xr:uid="{381CEF91-9668-0B41-AA24-B361796ACAE8}">
      <formula1>"Cash and Cash Equivalent, Properties, Investments, Retirement Savings, Life Insurance"</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40B72-1958-7942-A7A8-E4E5F9EFDFF9}">
  <dimension ref="C9:M29"/>
  <sheetViews>
    <sheetView topLeftCell="J1" workbookViewId="0">
      <selection activeCell="D29" sqref="D29"/>
    </sheetView>
  </sheetViews>
  <sheetFormatPr baseColWidth="10" defaultRowHeight="13"/>
  <cols>
    <col min="3" max="3" width="26.1640625" customWidth="1"/>
    <col min="4" max="4" width="38" customWidth="1"/>
    <col min="5" max="5" width="21.33203125" customWidth="1"/>
    <col min="6" max="6" width="24.5" customWidth="1"/>
    <col min="7" max="7" width="23.83203125" customWidth="1"/>
    <col min="8" max="8" width="22.6640625" customWidth="1"/>
    <col min="12" max="12" width="12.5" bestFit="1" customWidth="1"/>
  </cols>
  <sheetData>
    <row r="9" spans="3:13" ht="14" thickBot="1"/>
    <row r="10" spans="3:13" ht="20">
      <c r="C10" s="132" t="s">
        <v>227</v>
      </c>
      <c r="F10" s="113"/>
      <c r="G10" s="178" t="s">
        <v>232</v>
      </c>
      <c r="K10" s="114"/>
      <c r="L10" s="115" t="s">
        <v>167</v>
      </c>
      <c r="M10" s="120" t="s">
        <v>179</v>
      </c>
    </row>
    <row r="11" spans="3:13" ht="21">
      <c r="C11" s="174" t="s">
        <v>188</v>
      </c>
      <c r="D11" s="175" t="s">
        <v>150</v>
      </c>
      <c r="E11" s="106" t="s">
        <v>155</v>
      </c>
      <c r="F11" s="154" t="s">
        <v>231</v>
      </c>
      <c r="G11" s="106" t="s">
        <v>156</v>
      </c>
      <c r="H11" s="107" t="s">
        <v>159</v>
      </c>
      <c r="K11" s="116" t="s">
        <v>169</v>
      </c>
      <c r="L11" s="98" t="s">
        <v>168</v>
      </c>
      <c r="M11" s="117">
        <v>50000</v>
      </c>
    </row>
    <row r="12" spans="3:13" ht="20">
      <c r="C12" s="129" t="s">
        <v>184</v>
      </c>
      <c r="D12" s="176" t="s">
        <v>225</v>
      </c>
      <c r="E12" s="111">
        <v>51002</v>
      </c>
      <c r="F12" s="112" t="s">
        <v>230</v>
      </c>
      <c r="G12" s="111"/>
      <c r="H12" s="177"/>
      <c r="K12" s="116" t="s">
        <v>170</v>
      </c>
      <c r="L12" s="98" t="s">
        <v>171</v>
      </c>
      <c r="M12" s="117">
        <v>50000</v>
      </c>
    </row>
    <row r="13" spans="3:13" ht="20">
      <c r="C13" s="129" t="s">
        <v>190</v>
      </c>
      <c r="D13" s="176" t="s">
        <v>151</v>
      </c>
      <c r="E13" s="111">
        <v>76000</v>
      </c>
      <c r="F13" s="111">
        <v>75000</v>
      </c>
      <c r="G13" s="111"/>
      <c r="H13" s="177"/>
      <c r="K13" s="116" t="s">
        <v>172</v>
      </c>
      <c r="M13" s="117">
        <v>50000</v>
      </c>
    </row>
    <row r="14" spans="3:13" ht="20">
      <c r="C14" s="129" t="s">
        <v>184</v>
      </c>
      <c r="D14" s="176" t="s">
        <v>152</v>
      </c>
      <c r="E14" s="111"/>
      <c r="F14" s="111"/>
      <c r="G14" s="111"/>
      <c r="H14" s="111"/>
      <c r="K14" s="116" t="s">
        <v>173</v>
      </c>
      <c r="M14" s="117">
        <v>50000</v>
      </c>
    </row>
    <row r="15" spans="3:13" ht="20">
      <c r="C15" s="129" t="s">
        <v>190</v>
      </c>
      <c r="D15" s="176" t="s">
        <v>153</v>
      </c>
      <c r="E15" s="111">
        <v>10000</v>
      </c>
      <c r="F15" s="111">
        <v>10000</v>
      </c>
      <c r="G15" s="111"/>
      <c r="H15" s="111"/>
      <c r="K15" s="116" t="s">
        <v>174</v>
      </c>
      <c r="M15" s="117">
        <v>50000</v>
      </c>
    </row>
    <row r="16" spans="3:13" ht="20">
      <c r="C16" s="129" t="s">
        <v>184</v>
      </c>
      <c r="D16" s="176" t="s">
        <v>191</v>
      </c>
      <c r="E16" s="111"/>
      <c r="F16" s="111"/>
      <c r="G16" s="111">
        <v>600000</v>
      </c>
      <c r="H16" s="111"/>
      <c r="K16" s="116" t="s">
        <v>175</v>
      </c>
      <c r="M16" s="117">
        <v>50000</v>
      </c>
    </row>
    <row r="17" spans="3:13" ht="20">
      <c r="C17" s="129" t="s">
        <v>184</v>
      </c>
      <c r="D17" s="176" t="s">
        <v>154</v>
      </c>
      <c r="E17" s="111"/>
      <c r="F17" s="111"/>
      <c r="G17" s="112">
        <v>1400000</v>
      </c>
      <c r="H17" s="111"/>
      <c r="K17" s="116"/>
      <c r="M17" s="117"/>
    </row>
    <row r="18" spans="3:13" ht="20">
      <c r="C18" s="129" t="s">
        <v>184</v>
      </c>
      <c r="D18" s="176" t="s">
        <v>157</v>
      </c>
      <c r="E18" s="111"/>
      <c r="F18" s="111"/>
      <c r="G18" s="112">
        <v>1000000</v>
      </c>
      <c r="H18" s="111"/>
      <c r="K18" s="116" t="s">
        <v>176</v>
      </c>
      <c r="M18" s="117">
        <v>50000</v>
      </c>
    </row>
    <row r="19" spans="3:13" ht="20">
      <c r="C19" s="129" t="s">
        <v>183</v>
      </c>
      <c r="D19" s="176" t="s">
        <v>158</v>
      </c>
      <c r="E19" s="111"/>
      <c r="F19" s="111"/>
      <c r="G19" s="112">
        <v>18000000</v>
      </c>
      <c r="H19" s="111"/>
      <c r="K19" s="116" t="s">
        <v>177</v>
      </c>
      <c r="M19" s="117">
        <v>50000</v>
      </c>
    </row>
    <row r="20" spans="3:13" ht="20">
      <c r="C20" s="129" t="s">
        <v>184</v>
      </c>
      <c r="D20" s="176" t="s">
        <v>233</v>
      </c>
      <c r="E20" s="176"/>
      <c r="F20" s="176"/>
      <c r="G20" s="178">
        <v>500000</v>
      </c>
      <c r="H20" s="111"/>
      <c r="K20" s="116"/>
      <c r="M20" s="117"/>
    </row>
    <row r="21" spans="3:13" ht="20">
      <c r="C21" s="129" t="s">
        <v>184</v>
      </c>
      <c r="D21" s="176" t="s">
        <v>187</v>
      </c>
      <c r="G21" s="178">
        <v>4000000</v>
      </c>
      <c r="H21" s="111"/>
      <c r="K21" s="116" t="s">
        <v>178</v>
      </c>
      <c r="M21" s="117">
        <v>200000</v>
      </c>
    </row>
    <row r="22" spans="3:13" ht="18">
      <c r="C22" s="130"/>
      <c r="D22" s="176" t="s">
        <v>160</v>
      </c>
      <c r="E22" s="112">
        <v>137002</v>
      </c>
      <c r="F22" s="112"/>
      <c r="G22" s="112"/>
      <c r="H22" s="177"/>
      <c r="K22" s="116"/>
      <c r="M22" s="117"/>
    </row>
    <row r="23" spans="3:13" ht="18">
      <c r="C23" s="130"/>
      <c r="D23" s="128" t="s">
        <v>161</v>
      </c>
      <c r="E23" s="112">
        <v>12056176</v>
      </c>
      <c r="F23" s="112"/>
      <c r="G23" s="112">
        <v>25500000</v>
      </c>
      <c r="H23" s="185">
        <v>37556176</v>
      </c>
      <c r="K23" s="109"/>
      <c r="M23" s="117"/>
    </row>
    <row r="24" spans="3:13" ht="24" thickBot="1">
      <c r="C24" s="179"/>
      <c r="D24" s="105"/>
      <c r="E24" s="178"/>
      <c r="F24" s="141"/>
      <c r="G24" s="105"/>
      <c r="H24" s="184">
        <v>97966168</v>
      </c>
      <c r="K24" s="110"/>
      <c r="L24" s="118" t="s">
        <v>180</v>
      </c>
      <c r="M24" s="119">
        <v>1850000</v>
      </c>
    </row>
    <row r="25" spans="3:13" ht="23">
      <c r="C25" s="179"/>
      <c r="D25" s="105"/>
      <c r="E25" s="105"/>
      <c r="F25" s="105"/>
      <c r="G25" s="105"/>
      <c r="H25" s="177"/>
    </row>
    <row r="26" spans="3:13" ht="23">
      <c r="C26" s="179"/>
      <c r="D26" s="105"/>
      <c r="G26" s="105"/>
      <c r="H26" s="180" t="s">
        <v>234</v>
      </c>
    </row>
    <row r="27" spans="3:13">
      <c r="C27" s="181"/>
      <c r="D27" s="182"/>
      <c r="E27" s="182"/>
      <c r="F27" s="182"/>
      <c r="G27" s="182"/>
      <c r="H27" s="183"/>
    </row>
    <row r="28" spans="3:13" ht="23">
      <c r="D28" s="105"/>
      <c r="E28" s="105"/>
      <c r="F28" s="105"/>
      <c r="G28" s="105"/>
    </row>
    <row r="29" spans="3:13" ht="23">
      <c r="D29" s="105"/>
      <c r="E29" s="105"/>
      <c r="F29" s="105"/>
      <c r="G29" s="105"/>
    </row>
  </sheetData>
  <phoneticPr fontId="4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E1A1-2A7E-BF48-9B41-0552E8BF8429}">
  <dimension ref="E9:L24"/>
  <sheetViews>
    <sheetView topLeftCell="A3" workbookViewId="0">
      <selection activeCell="E28" sqref="E28"/>
    </sheetView>
  </sheetViews>
  <sheetFormatPr baseColWidth="10" defaultRowHeight="13"/>
  <cols>
    <col min="5" max="5" width="33.83203125" bestFit="1" customWidth="1"/>
    <col min="6" max="9" width="19.83203125" customWidth="1"/>
    <col min="11" max="11" width="14.5" bestFit="1" customWidth="1"/>
    <col min="12" max="12" width="39.5" customWidth="1"/>
  </cols>
  <sheetData>
    <row r="9" spans="5:12" ht="24">
      <c r="E9" s="173" t="s">
        <v>213</v>
      </c>
      <c r="F9" s="188" t="s">
        <v>219</v>
      </c>
      <c r="G9" s="189" t="s">
        <v>224</v>
      </c>
      <c r="H9" s="189" t="s">
        <v>220</v>
      </c>
      <c r="I9" s="189" t="s">
        <v>222</v>
      </c>
      <c r="J9" s="160"/>
      <c r="K9" s="161"/>
      <c r="L9" s="162"/>
    </row>
    <row r="10" spans="5:12" ht="24">
      <c r="E10" s="163" t="s">
        <v>192</v>
      </c>
      <c r="F10" s="164">
        <v>20000</v>
      </c>
      <c r="G10" s="171">
        <v>10000</v>
      </c>
      <c r="H10" s="171">
        <v>10000</v>
      </c>
      <c r="I10" s="171">
        <v>20000</v>
      </c>
      <c r="J10" s="160"/>
      <c r="K10" s="165" t="s">
        <v>193</v>
      </c>
      <c r="L10" s="166">
        <v>100000</v>
      </c>
    </row>
    <row r="11" spans="5:12" ht="24">
      <c r="E11" s="163" t="s">
        <v>194</v>
      </c>
      <c r="F11" s="164">
        <v>10000</v>
      </c>
      <c r="G11" s="171">
        <v>5000</v>
      </c>
      <c r="H11" s="171">
        <v>5000</v>
      </c>
      <c r="I11" s="171">
        <v>5000</v>
      </c>
      <c r="J11" s="160"/>
      <c r="K11" s="163" t="s">
        <v>195</v>
      </c>
      <c r="L11" s="164">
        <v>100000</v>
      </c>
    </row>
    <row r="12" spans="5:12" ht="24">
      <c r="E12" s="163" t="s">
        <v>196</v>
      </c>
      <c r="F12" s="164">
        <v>10000</v>
      </c>
      <c r="G12" s="171">
        <v>10000</v>
      </c>
      <c r="H12" s="171">
        <v>5000</v>
      </c>
      <c r="I12" s="171">
        <v>10000</v>
      </c>
      <c r="J12" s="160"/>
      <c r="K12" s="163" t="s">
        <v>197</v>
      </c>
      <c r="L12" s="164">
        <v>100000</v>
      </c>
    </row>
    <row r="13" spans="5:12" ht="24">
      <c r="E13" s="163" t="s">
        <v>198</v>
      </c>
      <c r="F13" s="164">
        <v>10000</v>
      </c>
      <c r="G13" s="171">
        <v>5000</v>
      </c>
      <c r="H13" s="171">
        <v>5000</v>
      </c>
      <c r="I13" s="171">
        <v>5000</v>
      </c>
      <c r="J13" s="160"/>
      <c r="K13" s="163" t="s">
        <v>199</v>
      </c>
      <c r="L13" s="164">
        <v>100000</v>
      </c>
    </row>
    <row r="14" spans="5:12" ht="24">
      <c r="E14" s="163" t="s">
        <v>212</v>
      </c>
      <c r="F14" s="164">
        <v>15000</v>
      </c>
      <c r="G14" s="171">
        <v>10000</v>
      </c>
      <c r="H14" s="171">
        <v>10000</v>
      </c>
      <c r="I14" s="171">
        <v>10000</v>
      </c>
      <c r="J14" s="160"/>
      <c r="K14" s="163" t="s">
        <v>200</v>
      </c>
      <c r="L14" s="164">
        <v>500000</v>
      </c>
    </row>
    <row r="15" spans="5:12" ht="24">
      <c r="E15" s="163" t="s">
        <v>201</v>
      </c>
      <c r="F15" s="164">
        <v>10000</v>
      </c>
      <c r="G15" s="171">
        <v>5000</v>
      </c>
      <c r="H15" s="171">
        <v>5000</v>
      </c>
      <c r="I15" s="171">
        <v>5000</v>
      </c>
      <c r="J15" s="160"/>
      <c r="K15" s="163" t="s">
        <v>202</v>
      </c>
      <c r="L15" s="164">
        <v>100000</v>
      </c>
    </row>
    <row r="16" spans="5:12" ht="24">
      <c r="E16" s="163" t="s">
        <v>203</v>
      </c>
      <c r="F16" s="164">
        <v>10000</v>
      </c>
      <c r="G16" s="171">
        <v>5000</v>
      </c>
      <c r="H16" s="171">
        <v>10000</v>
      </c>
      <c r="I16" s="171">
        <v>5000</v>
      </c>
      <c r="J16" s="160"/>
      <c r="K16" s="163" t="s">
        <v>217</v>
      </c>
      <c r="L16" s="164">
        <v>300000</v>
      </c>
    </row>
    <row r="17" spans="5:12" ht="24">
      <c r="E17" s="163" t="s">
        <v>205</v>
      </c>
      <c r="F17" s="164">
        <v>10000</v>
      </c>
      <c r="G17" s="171">
        <v>5000</v>
      </c>
      <c r="H17" s="171">
        <v>5000</v>
      </c>
      <c r="I17" s="171">
        <v>5000</v>
      </c>
      <c r="J17" s="160"/>
      <c r="K17" s="163" t="s">
        <v>221</v>
      </c>
      <c r="L17" s="164">
        <v>100000</v>
      </c>
    </row>
    <row r="18" spans="5:12" ht="24">
      <c r="E18" s="163" t="s">
        <v>206</v>
      </c>
      <c r="F18" s="164">
        <v>45000</v>
      </c>
      <c r="G18" s="171">
        <v>35000</v>
      </c>
      <c r="I18" s="171">
        <v>40000</v>
      </c>
      <c r="J18" s="160"/>
      <c r="K18" s="167" t="s">
        <v>204</v>
      </c>
      <c r="L18" s="168">
        <v>100000</v>
      </c>
    </row>
    <row r="19" spans="5:12" ht="24">
      <c r="E19" s="163" t="s">
        <v>209</v>
      </c>
      <c r="F19" s="164">
        <v>50000</v>
      </c>
      <c r="G19" s="171">
        <v>40000</v>
      </c>
      <c r="H19" s="171"/>
      <c r="I19" s="171">
        <v>5000</v>
      </c>
      <c r="J19" s="160"/>
      <c r="K19" s="169" t="s">
        <v>207</v>
      </c>
      <c r="L19" s="170" t="s">
        <v>208</v>
      </c>
    </row>
    <row r="20" spans="5:12" ht="24">
      <c r="E20" s="163" t="s">
        <v>210</v>
      </c>
      <c r="F20" s="164">
        <v>10000</v>
      </c>
      <c r="G20" s="171">
        <v>5000</v>
      </c>
      <c r="H20" s="171">
        <v>5000</v>
      </c>
      <c r="I20" s="171">
        <v>2000</v>
      </c>
      <c r="J20" s="160"/>
    </row>
    <row r="21" spans="5:12" ht="24">
      <c r="E21" s="163" t="s">
        <v>211</v>
      </c>
      <c r="F21" s="164">
        <v>10000</v>
      </c>
      <c r="G21" s="171">
        <v>5000</v>
      </c>
      <c r="H21" s="171">
        <v>10000</v>
      </c>
      <c r="I21" s="171">
        <v>15000</v>
      </c>
      <c r="J21" s="160"/>
    </row>
    <row r="22" spans="5:12" ht="24">
      <c r="E22" s="163" t="s">
        <v>216</v>
      </c>
      <c r="F22" s="164">
        <v>30000</v>
      </c>
      <c r="G22" s="171">
        <v>10000</v>
      </c>
      <c r="H22" s="171">
        <v>10000</v>
      </c>
      <c r="I22" s="171">
        <v>20000</v>
      </c>
      <c r="J22" s="160"/>
      <c r="K22" s="160"/>
      <c r="L22" s="160"/>
    </row>
    <row r="23" spans="5:12" ht="24">
      <c r="E23" s="163" t="s">
        <v>214</v>
      </c>
      <c r="F23" s="164">
        <v>10000</v>
      </c>
      <c r="G23" s="172">
        <v>0</v>
      </c>
      <c r="H23" s="172"/>
      <c r="I23" s="171">
        <v>3000</v>
      </c>
      <c r="J23" s="160"/>
      <c r="K23" s="160"/>
      <c r="L23" s="160"/>
    </row>
    <row r="24" spans="5:12" ht="24">
      <c r="E24" s="169" t="s">
        <v>207</v>
      </c>
      <c r="F24" s="170" t="s">
        <v>215</v>
      </c>
      <c r="G24" s="171">
        <v>150000</v>
      </c>
      <c r="H24" s="171">
        <v>80000</v>
      </c>
      <c r="I24" s="171">
        <v>150000</v>
      </c>
    </row>
  </sheetData>
  <pageMargins left="0.7" right="0.7" top="0.75" bottom="0.75" header="0.3" footer="0.3"/>
</worksheet>
</file>

<file path=docMetadata/LabelInfo.xml><?xml version="1.0" encoding="utf-8"?>
<clbl:labelList xmlns:clbl="http://schemas.microsoft.com/office/2020/mipLabelMetadata">
  <clbl:label id="{fc5c1ca9-dd9d-4404-b69d-f7f02d205dd0}" enabled="1" method="Privileged" siteId="{66295b3b-c4fd-41af-a077-c0ec2a40e36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ORJ - Ultimate FI Budget</vt:lpstr>
      <vt:lpstr>Surya Networth</vt:lpstr>
      <vt:lpstr>Alekhya Networth</vt:lpstr>
      <vt:lpstr>India Lifestyle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Suryatheju Yerra</cp:lastModifiedBy>
  <dcterms:created xsi:type="dcterms:W3CDTF">2020-04-06T00:03:31Z</dcterms:created>
  <dcterms:modified xsi:type="dcterms:W3CDTF">2025-09-19T16:38:40Z</dcterms:modified>
</cp:coreProperties>
</file>